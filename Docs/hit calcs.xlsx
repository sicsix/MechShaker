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\OneDrive\Desktop\"/>
    </mc:Choice>
  </mc:AlternateContent>
  <xr:revisionPtr revIDLastSave="0" documentId="13_ncr:1_{C9315410-4627-4087-8F69-9466B64B7D38}" xr6:coauthVersionLast="47" xr6:coauthVersionMax="47" xr10:uidLastSave="{00000000-0000-0000-0000-000000000000}"/>
  <bookViews>
    <workbookView xWindow="38280" yWindow="-120" windowWidth="38640" windowHeight="21120" activeTab="1" xr2:uid="{377AEE20-8939-431B-865B-1DE1014D7C0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B7" i="2"/>
  <c r="B8" i="2"/>
  <c r="B9" i="2"/>
  <c r="B10" i="2"/>
  <c r="B12" i="2"/>
  <c r="B13" i="2"/>
  <c r="B14" i="2"/>
  <c r="B15" i="2"/>
  <c r="B16" i="2"/>
  <c r="B17" i="2"/>
  <c r="B18" i="2"/>
  <c r="B19" i="2"/>
  <c r="B20" i="2"/>
  <c r="B21" i="2"/>
  <c r="B11" i="2"/>
  <c r="F7" i="2"/>
  <c r="G7" i="2" s="1"/>
  <c r="F13" i="2"/>
  <c r="G13" i="2" s="1"/>
  <c r="F20" i="2"/>
  <c r="G20" i="2" s="1"/>
  <c r="F10" i="2"/>
  <c r="G10" i="2" s="1"/>
  <c r="F12" i="2"/>
  <c r="G12" i="2" s="1"/>
  <c r="F8" i="2"/>
  <c r="G8" i="2" s="1"/>
  <c r="F11" i="2"/>
  <c r="G11" i="2" s="1"/>
  <c r="F14" i="2"/>
  <c r="G14" i="2" s="1"/>
  <c r="F9" i="2"/>
  <c r="G9" i="2" s="1"/>
  <c r="F19" i="2"/>
  <c r="G19" i="2" s="1"/>
  <c r="F18" i="2"/>
  <c r="G18" i="2" s="1"/>
  <c r="F21" i="2"/>
  <c r="G21" i="2" s="1"/>
  <c r="F15" i="2"/>
  <c r="G15" i="2" s="1"/>
  <c r="F6" i="2"/>
  <c r="G6" i="2" s="1"/>
  <c r="F16" i="2"/>
  <c r="G16" i="2" s="1"/>
  <c r="F17" i="2"/>
  <c r="G17" i="2" s="1"/>
  <c r="D20" i="1"/>
  <c r="D19" i="1"/>
  <c r="D18" i="1"/>
  <c r="D22" i="1" l="1"/>
  <c r="D24" i="1" s="1"/>
</calcChain>
</file>

<file path=xl/sharedStrings.xml><?xml version="1.0" encoding="utf-8"?>
<sst xmlns="http://schemas.openxmlformats.org/spreadsheetml/2006/main" count="28" uniqueCount="26">
  <si>
    <t>0100 0000_0011 0011_0011 0011_0011 0011</t>
  </si>
  <si>
    <t>0100 0000_0111 0011_0011 0011_0011 0011</t>
  </si>
  <si>
    <t>0100 0001_0000 0001_1001 1001_1001 1010</t>
  </si>
  <si>
    <t>0100 0010_0110 1110_0110 0110_0110 0110</t>
  </si>
  <si>
    <t>Strength</t>
  </si>
  <si>
    <t>Energy</t>
  </si>
  <si>
    <t>Count</t>
  </si>
  <si>
    <t>2.8 is UB</t>
  </si>
  <si>
    <t>8.1 is 37mm</t>
  </si>
  <si>
    <t>3.8 is 20mm</t>
  </si>
  <si>
    <t>Column4</t>
  </si>
  <si>
    <t>Column5</t>
  </si>
  <si>
    <t>Plane</t>
  </si>
  <si>
    <t>Ju88</t>
  </si>
  <si>
    <t>Bf</t>
  </si>
  <si>
    <t>Notes:</t>
  </si>
  <si>
    <t>G Forces can be used to calculate impact</t>
  </si>
  <si>
    <t>F = MA</t>
  </si>
  <si>
    <t>However acceleration can be used by itself, since the acceleration is dependent on mass anyway</t>
  </si>
  <si>
    <t>Damaged events can fire for on board explosions etc, there is no hit event</t>
  </si>
  <si>
    <t>Maybe G forces can detect it though?</t>
  </si>
  <si>
    <t>Seems to have some relation with number of firings</t>
  </si>
  <si>
    <t xml:space="preserve">Strength varies dependant on source, may not be strength - hitting ground is 59.6, weapon calibre changes value, </t>
  </si>
  <si>
    <t>Hits have a location and an energy amount</t>
  </si>
  <si>
    <t>Need to convert energy into frequencies/amplitudes</t>
  </si>
  <si>
    <t>Use the location to attenuate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</si>
</sst>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AC5EE0-6E86-4DAA-8383-88588A89A18D}" name="Table1" displayName="Table1" ref="C5:G21" totalsRowShown="0">
  <autoFilter ref="C5:G21" xr:uid="{5BAC5EE0-6E86-4DAA-8383-88588A89A18D}"/>
  <sortState xmlns:xlrd2="http://schemas.microsoft.com/office/spreadsheetml/2017/richdata2" ref="C6:G21">
    <sortCondition descending="1" ref="E5:E21"/>
  </sortState>
  <tableColumns count="5">
    <tableColumn id="1" xr3:uid="{D56E5EE5-82AD-4A57-BAFE-501E90ED5986}" name="Energy"/>
    <tableColumn id="2" xr3:uid="{4DB12D05-94E7-43A0-A6C5-A041AEDD2447}" name="Strength"/>
    <tableColumn id="3" xr3:uid="{B10FF9C2-847F-4159-AEA4-6172CAB266CB}" name="Count"/>
    <tableColumn id="7" xr3:uid="{3A3F64DB-1D81-44C3-8D19-B1E1FB8AC576}" name="Column4" dataDxfId="1">
      <calculatedColumnFormula>Table1[[#This Row],[Count]]*Table1[[#This Row],[Strength]]</calculatedColumnFormula>
    </tableColumn>
    <tableColumn id="9" xr3:uid="{0384CFBB-4CC9-4C4D-96C4-AA37FFE5E404}" name="Column5" dataDxfId="0">
      <calculatedColumnFormula>Table1[[#This Row],[Energy]]/Table1[[#This Row],[Column4]]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298C5-680B-40FE-9E3A-305A9F3361D3}">
  <dimension ref="B3:I31"/>
  <sheetViews>
    <sheetView workbookViewId="0">
      <selection activeCell="F32" sqref="F32"/>
    </sheetView>
  </sheetViews>
  <sheetFormatPr defaultRowHeight="15" x14ac:dyDescent="0.25"/>
  <cols>
    <col min="3" max="3" width="11" bestFit="1" customWidth="1"/>
    <col min="5" max="5" width="65.140625" customWidth="1"/>
  </cols>
  <sheetData>
    <row r="3" spans="2:9" x14ac:dyDescent="0.25">
      <c r="B3">
        <v>2.8</v>
      </c>
      <c r="C3">
        <v>1077097267</v>
      </c>
      <c r="E3" s="1" t="s">
        <v>0</v>
      </c>
      <c r="F3">
        <v>64</v>
      </c>
      <c r="G3">
        <v>51</v>
      </c>
      <c r="H3">
        <v>51</v>
      </c>
      <c r="I3">
        <v>51</v>
      </c>
    </row>
    <row r="4" spans="2:9" x14ac:dyDescent="0.25">
      <c r="B4">
        <v>3.8</v>
      </c>
      <c r="C4">
        <v>1081291571</v>
      </c>
      <c r="E4" s="1" t="s">
        <v>1</v>
      </c>
    </row>
    <row r="5" spans="2:9" x14ac:dyDescent="0.25">
      <c r="E5" s="1" t="s">
        <v>2</v>
      </c>
    </row>
    <row r="6" spans="2:9" x14ac:dyDescent="0.25">
      <c r="B6">
        <v>59.6</v>
      </c>
      <c r="E6" s="1" t="s">
        <v>3</v>
      </c>
    </row>
    <row r="14" spans="2:9" x14ac:dyDescent="0.25">
      <c r="D14">
        <v>886</v>
      </c>
    </row>
    <row r="15" spans="2:9" x14ac:dyDescent="0.25">
      <c r="D15">
        <v>5200</v>
      </c>
      <c r="F15" t="s">
        <v>15</v>
      </c>
    </row>
    <row r="16" spans="2:9" x14ac:dyDescent="0.25">
      <c r="D16">
        <v>682</v>
      </c>
      <c r="F16" t="s">
        <v>16</v>
      </c>
    </row>
    <row r="17" spans="4:7" x14ac:dyDescent="0.25">
      <c r="G17" t="s">
        <v>17</v>
      </c>
    </row>
    <row r="18" spans="4:7" x14ac:dyDescent="0.25">
      <c r="D18">
        <f>D14^2</f>
        <v>784996</v>
      </c>
      <c r="G18" t="s">
        <v>18</v>
      </c>
    </row>
    <row r="19" spans="4:7" x14ac:dyDescent="0.25">
      <c r="D19">
        <f>D15^2</f>
        <v>27040000</v>
      </c>
    </row>
    <row r="20" spans="4:7" x14ac:dyDescent="0.25">
      <c r="D20">
        <f>D16^2</f>
        <v>465124</v>
      </c>
    </row>
    <row r="22" spans="4:7" x14ac:dyDescent="0.25">
      <c r="D22">
        <f>D20+D19+D18</f>
        <v>28290120</v>
      </c>
      <c r="F22" t="s">
        <v>19</v>
      </c>
    </row>
    <row r="23" spans="4:7" x14ac:dyDescent="0.25">
      <c r="G23" t="s">
        <v>20</v>
      </c>
    </row>
    <row r="24" spans="4:7" x14ac:dyDescent="0.25">
      <c r="D24">
        <f>SQRT(D22)</f>
        <v>5318.8457394438501</v>
      </c>
      <c r="G24" t="s">
        <v>21</v>
      </c>
    </row>
    <row r="25" spans="4:7" x14ac:dyDescent="0.25">
      <c r="G25" t="s">
        <v>22</v>
      </c>
    </row>
    <row r="29" spans="4:7" x14ac:dyDescent="0.25">
      <c r="F29" t="s">
        <v>23</v>
      </c>
    </row>
    <row r="30" spans="4:7" x14ac:dyDescent="0.25">
      <c r="G30" t="s">
        <v>24</v>
      </c>
    </row>
    <row r="31" spans="4:7" x14ac:dyDescent="0.25">
      <c r="G31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6760-D60F-42C8-BFE0-683070556644}">
  <dimension ref="B5:I27"/>
  <sheetViews>
    <sheetView tabSelected="1" topLeftCell="A19" workbookViewId="0">
      <selection activeCell="A25" sqref="A25"/>
    </sheetView>
  </sheetViews>
  <sheetFormatPr defaultRowHeight="15" x14ac:dyDescent="0.25"/>
  <cols>
    <col min="4" max="4" width="10.7109375" customWidth="1"/>
  </cols>
  <sheetData>
    <row r="5" spans="2:9" x14ac:dyDescent="0.25">
      <c r="C5" t="s">
        <v>5</v>
      </c>
      <c r="D5" t="s">
        <v>4</v>
      </c>
      <c r="E5" t="s">
        <v>6</v>
      </c>
      <c r="F5" t="s">
        <v>10</v>
      </c>
      <c r="G5" t="s">
        <v>11</v>
      </c>
    </row>
    <row r="6" spans="2:9" x14ac:dyDescent="0.25">
      <c r="B6">
        <f>SQRT(Table1[[#This Row],[Energy]])</f>
        <v>38.392707640904931</v>
      </c>
      <c r="C6">
        <v>1474</v>
      </c>
      <c r="D6">
        <v>2.8</v>
      </c>
      <c r="E6">
        <v>169</v>
      </c>
      <c r="F6">
        <f>Table1[[#This Row],[Count]]*Table1[[#This Row],[Strength]]</f>
        <v>473.2</v>
      </c>
      <c r="G6">
        <f>Table1[[#This Row],[Energy]]/Table1[[#This Row],[Column4]]</f>
        <v>3.1149619611158075</v>
      </c>
      <c r="I6" t="s">
        <v>7</v>
      </c>
    </row>
    <row r="7" spans="2:9" x14ac:dyDescent="0.25">
      <c r="B7">
        <f>SQRT(Table1[[#This Row],[Energy]])</f>
        <v>88.073832663283142</v>
      </c>
      <c r="C7">
        <v>7757</v>
      </c>
      <c r="D7">
        <v>8.1</v>
      </c>
      <c r="E7">
        <v>147</v>
      </c>
      <c r="F7">
        <f>Table1[[#This Row],[Count]]*Table1[[#This Row],[Strength]]</f>
        <v>1190.7</v>
      </c>
      <c r="G7">
        <f>Table1[[#This Row],[Energy]]/Table1[[#This Row],[Column4]]</f>
        <v>6.5146552448139747</v>
      </c>
      <c r="I7" t="s">
        <v>9</v>
      </c>
    </row>
    <row r="8" spans="2:9" x14ac:dyDescent="0.25">
      <c r="B8">
        <f>SQRT(Table1[[#This Row],[Energy]])</f>
        <v>100.9752444909147</v>
      </c>
      <c r="C8">
        <v>10196</v>
      </c>
      <c r="D8">
        <v>8.1</v>
      </c>
      <c r="E8">
        <v>145</v>
      </c>
      <c r="F8">
        <f>Table1[[#This Row],[Count]]*Table1[[#This Row],[Strength]]</f>
        <v>1174.5</v>
      </c>
      <c r="G8">
        <f>Table1[[#This Row],[Energy]]/Table1[[#This Row],[Column4]]</f>
        <v>8.6811409110259685</v>
      </c>
      <c r="I8" t="s">
        <v>8</v>
      </c>
    </row>
    <row r="9" spans="2:9" x14ac:dyDescent="0.25">
      <c r="B9">
        <f>SQRT(Table1[[#This Row],[Energy]])</f>
        <v>154.82893786369524</v>
      </c>
      <c r="C9">
        <v>23972</v>
      </c>
      <c r="D9">
        <v>8.1</v>
      </c>
      <c r="E9">
        <v>145</v>
      </c>
      <c r="F9">
        <f>Table1[[#This Row],[Count]]*Table1[[#This Row],[Strength]]</f>
        <v>1174.5</v>
      </c>
      <c r="G9">
        <f>Table1[[#This Row],[Energy]]/Table1[[#This Row],[Column4]]</f>
        <v>20.410387398893146</v>
      </c>
    </row>
    <row r="10" spans="2:9" x14ac:dyDescent="0.25">
      <c r="B10">
        <f>SQRT(Table1[[#This Row],[Energy]])</f>
        <v>89.403579346690591</v>
      </c>
      <c r="C10">
        <v>7993</v>
      </c>
      <c r="D10">
        <v>8.1</v>
      </c>
      <c r="E10">
        <v>144</v>
      </c>
      <c r="F10">
        <f>Table1[[#This Row],[Count]]*Table1[[#This Row],[Strength]]</f>
        <v>1166.3999999999999</v>
      </c>
      <c r="G10">
        <f>Table1[[#This Row],[Energy]]/Table1[[#This Row],[Column4]]</f>
        <v>6.8527091906721544</v>
      </c>
    </row>
    <row r="11" spans="2:9" x14ac:dyDescent="0.25">
      <c r="B11">
        <f>SQRT(Table1[[#This Row],[Energy]])</f>
        <v>166.05119692432211</v>
      </c>
      <c r="C11">
        <v>27573</v>
      </c>
      <c r="D11">
        <v>8.1</v>
      </c>
      <c r="E11">
        <v>143</v>
      </c>
      <c r="F11">
        <f>Table1[[#This Row],[Count]]*Table1[[#This Row],[Strength]]</f>
        <v>1158.3</v>
      </c>
      <c r="G11">
        <f>Table1[[#This Row],[Energy]]/Table1[[#This Row],[Column4]]</f>
        <v>23.804713804713806</v>
      </c>
    </row>
    <row r="12" spans="2:9" x14ac:dyDescent="0.25">
      <c r="B12">
        <f>SQRT(Table1[[#This Row],[Energy]])</f>
        <v>11.916375287812984</v>
      </c>
      <c r="C12">
        <v>142</v>
      </c>
      <c r="D12">
        <v>2.8</v>
      </c>
      <c r="E12">
        <v>75</v>
      </c>
      <c r="F12">
        <f>Table1[[#This Row],[Count]]*Table1[[#This Row],[Strength]]</f>
        <v>210</v>
      </c>
      <c r="G12">
        <f>Table1[[#This Row],[Energy]]/Table1[[#This Row],[Column4]]</f>
        <v>0.67619047619047623</v>
      </c>
    </row>
    <row r="13" spans="2:9" x14ac:dyDescent="0.25">
      <c r="B13">
        <f>SQRT(Table1[[#This Row],[Energy]])</f>
        <v>43.485629810317796</v>
      </c>
      <c r="C13">
        <v>1891</v>
      </c>
      <c r="D13">
        <v>8.1</v>
      </c>
      <c r="E13">
        <v>57</v>
      </c>
      <c r="F13">
        <f>Table1[[#This Row],[Count]]*Table1[[#This Row],[Strength]]</f>
        <v>461.7</v>
      </c>
      <c r="G13">
        <f>Table1[[#This Row],[Energy]]/Table1[[#This Row],[Column4]]</f>
        <v>4.0957331600606457</v>
      </c>
    </row>
    <row r="14" spans="2:9" x14ac:dyDescent="0.25">
      <c r="B14">
        <f>SQRT(Table1[[#This Row],[Energy]])</f>
        <v>11.832159566199232</v>
      </c>
      <c r="C14">
        <v>140</v>
      </c>
      <c r="D14">
        <v>2.8</v>
      </c>
      <c r="E14">
        <v>40</v>
      </c>
      <c r="F14">
        <f>Table1[[#This Row],[Count]]*Table1[[#This Row],[Strength]]</f>
        <v>112</v>
      </c>
      <c r="G14">
        <f>Table1[[#This Row],[Energy]]/Table1[[#This Row],[Column4]]</f>
        <v>1.25</v>
      </c>
    </row>
    <row r="15" spans="2:9" x14ac:dyDescent="0.25">
      <c r="B15">
        <f>SQRT(Table1[[#This Row],[Energy]])</f>
        <v>45.221676218380054</v>
      </c>
      <c r="C15">
        <v>2045</v>
      </c>
      <c r="D15">
        <v>2.8</v>
      </c>
      <c r="E15">
        <v>33</v>
      </c>
      <c r="F15">
        <f>Table1[[#This Row],[Count]]*Table1[[#This Row],[Strength]]</f>
        <v>92.399999999999991</v>
      </c>
      <c r="G15">
        <f>Table1[[#This Row],[Energy]]/Table1[[#This Row],[Column4]]</f>
        <v>22.132034632034635</v>
      </c>
    </row>
    <row r="16" spans="2:9" x14ac:dyDescent="0.25">
      <c r="B16">
        <f>SQRT(Table1[[#This Row],[Energy]])</f>
        <v>28.337254630609507</v>
      </c>
      <c r="C16">
        <v>803</v>
      </c>
      <c r="D16">
        <v>2.8</v>
      </c>
      <c r="E16">
        <v>32</v>
      </c>
      <c r="F16">
        <f>Table1[[#This Row],[Count]]*Table1[[#This Row],[Strength]]</f>
        <v>89.6</v>
      </c>
      <c r="G16">
        <f>Table1[[#This Row],[Energy]]/Table1[[#This Row],[Column4]]</f>
        <v>8.9620535714285712</v>
      </c>
    </row>
    <row r="17" spans="2:7" x14ac:dyDescent="0.25">
      <c r="B17">
        <f>SQRT(Table1[[#This Row],[Energy]])</f>
        <v>14.352700094407323</v>
      </c>
      <c r="C17">
        <v>206</v>
      </c>
      <c r="D17">
        <v>3.8</v>
      </c>
      <c r="E17">
        <v>24</v>
      </c>
      <c r="F17">
        <f>Table1[[#This Row],[Count]]*Table1[[#This Row],[Strength]]</f>
        <v>91.199999999999989</v>
      </c>
      <c r="G17">
        <f>Table1[[#This Row],[Energy]]/Table1[[#This Row],[Column4]]</f>
        <v>2.2587719298245617</v>
      </c>
    </row>
    <row r="18" spans="2:7" x14ac:dyDescent="0.25">
      <c r="B18">
        <f>SQRT(Table1[[#This Row],[Energy]])</f>
        <v>23.664319132398465</v>
      </c>
      <c r="C18">
        <v>560</v>
      </c>
      <c r="D18">
        <v>2.8</v>
      </c>
      <c r="E18">
        <v>23</v>
      </c>
      <c r="F18">
        <f>Table1[[#This Row],[Count]]*Table1[[#This Row],[Strength]]</f>
        <v>64.399999999999991</v>
      </c>
      <c r="G18">
        <f>Table1[[#This Row],[Energy]]/Table1[[#This Row],[Column4]]</f>
        <v>8.6956521739130448</v>
      </c>
    </row>
    <row r="19" spans="2:7" x14ac:dyDescent="0.25">
      <c r="B19">
        <f>SQRT(Table1[[#This Row],[Energy]])</f>
        <v>11.357816691600547</v>
      </c>
      <c r="C19">
        <v>129</v>
      </c>
      <c r="D19">
        <v>2.8</v>
      </c>
      <c r="E19">
        <v>20</v>
      </c>
      <c r="F19">
        <f>Table1[[#This Row],[Count]]*Table1[[#This Row],[Strength]]</f>
        <v>56</v>
      </c>
      <c r="G19">
        <f>Table1[[#This Row],[Energy]]/Table1[[#This Row],[Column4]]</f>
        <v>2.3035714285714284</v>
      </c>
    </row>
    <row r="20" spans="2:7" x14ac:dyDescent="0.25">
      <c r="B20">
        <f>SQRT(Table1[[#This Row],[Energy]])</f>
        <v>24.718414188616549</v>
      </c>
      <c r="C20">
        <v>611</v>
      </c>
      <c r="D20">
        <v>2.8</v>
      </c>
      <c r="E20">
        <v>19</v>
      </c>
      <c r="F20">
        <f>Table1[[#This Row],[Count]]*Table1[[#This Row],[Strength]]</f>
        <v>53.199999999999996</v>
      </c>
      <c r="G20">
        <f>Table1[[#This Row],[Energy]]/Table1[[#This Row],[Column4]]</f>
        <v>11.484962406015038</v>
      </c>
    </row>
    <row r="21" spans="2:7" x14ac:dyDescent="0.25">
      <c r="B21">
        <f>SQRT(Table1[[#This Row],[Energy]])</f>
        <v>38.314488121336034</v>
      </c>
      <c r="C21">
        <v>1468</v>
      </c>
      <c r="D21">
        <v>2.8</v>
      </c>
      <c r="E21">
        <v>16</v>
      </c>
      <c r="F21">
        <f>Table1[[#This Row],[Count]]*Table1[[#This Row],[Strength]]</f>
        <v>44.8</v>
      </c>
      <c r="G21">
        <f>Table1[[#This Row],[Energy]]/Table1[[#This Row],[Column4]]</f>
        <v>32.767857142857146</v>
      </c>
    </row>
    <row r="24" spans="2:7" x14ac:dyDescent="0.25">
      <c r="C24" t="s">
        <v>12</v>
      </c>
      <c r="D24" t="s">
        <v>4</v>
      </c>
      <c r="E24" t="s">
        <v>6</v>
      </c>
    </row>
    <row r="25" spans="2:7" x14ac:dyDescent="0.25">
      <c r="C25" t="s">
        <v>13</v>
      </c>
      <c r="D25">
        <v>59.6</v>
      </c>
      <c r="E25">
        <v>137</v>
      </c>
    </row>
    <row r="26" spans="2:7" x14ac:dyDescent="0.25">
      <c r="D26">
        <v>59.6</v>
      </c>
      <c r="E26">
        <v>141</v>
      </c>
    </row>
    <row r="27" spans="2:7" x14ac:dyDescent="0.25">
      <c r="C27" t="s">
        <v>14</v>
      </c>
      <c r="D27">
        <v>59.6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Butler</dc:creator>
  <cp:lastModifiedBy>Tim Butler</cp:lastModifiedBy>
  <dcterms:created xsi:type="dcterms:W3CDTF">2023-07-03T00:13:35Z</dcterms:created>
  <dcterms:modified xsi:type="dcterms:W3CDTF">2023-07-03T11:26:33Z</dcterms:modified>
</cp:coreProperties>
</file>