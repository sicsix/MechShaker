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\OneDrive\Desktop\"/>
    </mc:Choice>
  </mc:AlternateContent>
  <xr:revisionPtr revIDLastSave="0" documentId="13_ncr:1_{AED23C99-ABD6-4829-8A7D-A634C1BEAE56}" xr6:coauthVersionLast="47" xr6:coauthVersionMax="47" xr10:uidLastSave="{00000000-0000-0000-0000-000000000000}"/>
  <bookViews>
    <workbookView xWindow="9705" yWindow="1950" windowWidth="28800" windowHeight="15345" xr2:uid="{8A25D6B4-50AB-4350-A531-E41691D438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" l="1"/>
  <c r="U5" i="1"/>
  <c r="F19" i="1"/>
  <c r="G19" i="1"/>
  <c r="G18" i="1"/>
  <c r="F18" i="1"/>
  <c r="B10" i="1"/>
  <c r="B11" i="1"/>
  <c r="B9" i="1"/>
  <c r="B7" i="1"/>
  <c r="B8" i="1"/>
  <c r="E19" i="1"/>
  <c r="E18" i="1"/>
  <c r="E17" i="1"/>
  <c r="N27" i="1"/>
  <c r="N26" i="1"/>
  <c r="N25" i="1"/>
  <c r="G16" i="1"/>
  <c r="O7" i="1"/>
  <c r="P7" i="1"/>
  <c r="Q7" i="1"/>
  <c r="O8" i="1"/>
  <c r="P8" i="1"/>
  <c r="Q8" i="1"/>
  <c r="Q9" i="1"/>
  <c r="P9" i="1"/>
  <c r="O9" i="1"/>
</calcChain>
</file>

<file path=xl/sharedStrings.xml><?xml version="1.0" encoding="utf-8"?>
<sst xmlns="http://schemas.openxmlformats.org/spreadsheetml/2006/main" count="37" uniqueCount="30">
  <si>
    <t>RPM</t>
  </si>
  <si>
    <t>Frq 1</t>
  </si>
  <si>
    <t>Amp 1</t>
  </si>
  <si>
    <t>Frq 2</t>
  </si>
  <si>
    <t>Amp 2</t>
  </si>
  <si>
    <t>Frq 3</t>
  </si>
  <si>
    <t>Amp 3</t>
  </si>
  <si>
    <t>Aircraft engine components</t>
  </si>
  <si>
    <t>Engine fundamental</t>
  </si>
  <si>
    <t>rpm / 60</t>
  </si>
  <si>
    <t>((rpm / 60) / 2) * cylinders</t>
  </si>
  <si>
    <t>rpm / 10</t>
  </si>
  <si>
    <t>rpm / 120</t>
  </si>
  <si>
    <t>rpm / 30</t>
  </si>
  <si>
    <t>Engine rotation</t>
  </si>
  <si>
    <t>Camshaft rot</t>
  </si>
  <si>
    <t>1x</t>
  </si>
  <si>
    <t>3x</t>
  </si>
  <si>
    <t>4x</t>
  </si>
  <si>
    <t>Cam</t>
  </si>
  <si>
    <t>Engine RPM</t>
  </si>
  <si>
    <t>2x</t>
  </si>
  <si>
    <t>Cam x3</t>
  </si>
  <si>
    <t>Cam x4</t>
  </si>
  <si>
    <t>Fundamental</t>
  </si>
  <si>
    <t>rpm / 40</t>
  </si>
  <si>
    <t>Not related to cylinders</t>
  </si>
  <si>
    <t>Related to cylinders</t>
  </si>
  <si>
    <t>1.5x</t>
  </si>
  <si>
    <t>is not linear with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</si>
</sst>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7623-DEAB-473E-AA67-F2AD56C26A91}">
  <dimension ref="B5:U40"/>
  <sheetViews>
    <sheetView tabSelected="1" workbookViewId="0">
      <selection activeCell="U15" sqref="U15"/>
    </sheetView>
  </sheetViews>
  <sheetFormatPr defaultRowHeight="15" x14ac:dyDescent="0.25"/>
  <cols>
    <col min="13" max="13" width="12.5703125" customWidth="1"/>
    <col min="16" max="16" width="12.7109375" bestFit="1" customWidth="1"/>
    <col min="19" max="19" width="12.7109375" bestFit="1" customWidth="1"/>
  </cols>
  <sheetData>
    <row r="5" spans="2:21" x14ac:dyDescent="0.25">
      <c r="U5">
        <f>1/50</f>
        <v>0.02</v>
      </c>
    </row>
    <row r="6" spans="2:21" x14ac:dyDescent="0.25">
      <c r="F6" t="s">
        <v>0</v>
      </c>
      <c r="G6" t="s">
        <v>1</v>
      </c>
      <c r="H6" t="s">
        <v>2</v>
      </c>
      <c r="I6" t="s">
        <v>3</v>
      </c>
      <c r="J6" t="s">
        <v>4</v>
      </c>
      <c r="K6" t="s">
        <v>5</v>
      </c>
      <c r="L6" t="s">
        <v>6</v>
      </c>
    </row>
    <row r="7" spans="2:21" x14ac:dyDescent="0.25">
      <c r="B7">
        <f>B8/2</f>
        <v>36.666666666666664</v>
      </c>
      <c r="F7">
        <v>1770</v>
      </c>
      <c r="G7">
        <v>10</v>
      </c>
      <c r="H7">
        <v>-41</v>
      </c>
      <c r="I7">
        <v>30</v>
      </c>
      <c r="J7">
        <v>-37</v>
      </c>
      <c r="K7">
        <v>75</v>
      </c>
      <c r="L7">
        <v>-42</v>
      </c>
      <c r="O7">
        <f t="shared" ref="O7:O8" si="0">F7/G7</f>
        <v>177</v>
      </c>
      <c r="P7">
        <f t="shared" ref="P7:P8" si="1">F7/I7</f>
        <v>59</v>
      </c>
      <c r="Q7">
        <f t="shared" ref="Q7:Q8" si="2">F7/K7</f>
        <v>23.6</v>
      </c>
      <c r="T7">
        <v>2</v>
      </c>
      <c r="U7">
        <v>0.04</v>
      </c>
    </row>
    <row r="8" spans="2:21" x14ac:dyDescent="0.25">
      <c r="B8">
        <f>4400/60</f>
        <v>73.333333333333329</v>
      </c>
      <c r="F8">
        <v>4400</v>
      </c>
      <c r="G8">
        <v>20</v>
      </c>
      <c r="H8">
        <v>-39</v>
      </c>
      <c r="I8">
        <v>75</v>
      </c>
      <c r="J8">
        <v>-34</v>
      </c>
      <c r="K8">
        <v>150</v>
      </c>
      <c r="L8">
        <v>-41</v>
      </c>
      <c r="O8">
        <f t="shared" si="0"/>
        <v>220</v>
      </c>
      <c r="P8">
        <f t="shared" si="1"/>
        <v>58.666666666666664</v>
      </c>
      <c r="Q8">
        <f t="shared" si="2"/>
        <v>29.333333333333332</v>
      </c>
      <c r="T8">
        <v>3</v>
      </c>
      <c r="U8">
        <v>0.06</v>
      </c>
    </row>
    <row r="9" spans="2:21" x14ac:dyDescent="0.25">
      <c r="B9">
        <f>B8*2</f>
        <v>146.66666666666666</v>
      </c>
      <c r="F9">
        <v>8700</v>
      </c>
      <c r="G9">
        <v>50</v>
      </c>
      <c r="H9">
        <v>-36</v>
      </c>
      <c r="I9">
        <v>150</v>
      </c>
      <c r="J9">
        <v>-34</v>
      </c>
      <c r="K9">
        <v>300</v>
      </c>
      <c r="L9">
        <v>-47</v>
      </c>
      <c r="O9">
        <f>F9/G9</f>
        <v>174</v>
      </c>
      <c r="P9">
        <f>F9/I9</f>
        <v>58</v>
      </c>
      <c r="Q9">
        <f>F9/K9</f>
        <v>29</v>
      </c>
      <c r="T9">
        <v>2</v>
      </c>
      <c r="U9">
        <v>0.04</v>
      </c>
    </row>
    <row r="10" spans="2:21" x14ac:dyDescent="0.25">
      <c r="B10">
        <f>8700/60/2</f>
        <v>72.5</v>
      </c>
      <c r="T10">
        <v>3</v>
      </c>
      <c r="U10">
        <v>0.06</v>
      </c>
    </row>
    <row r="11" spans="2:21" x14ac:dyDescent="0.25">
      <c r="B11">
        <f>8700/60</f>
        <v>145</v>
      </c>
    </row>
    <row r="12" spans="2:21" x14ac:dyDescent="0.25">
      <c r="O12">
        <v>180</v>
      </c>
      <c r="P12">
        <v>60</v>
      </c>
      <c r="Q12">
        <v>30</v>
      </c>
    </row>
    <row r="13" spans="2:21" x14ac:dyDescent="0.25">
      <c r="U13">
        <v>0.05</v>
      </c>
    </row>
    <row r="14" spans="2:21" x14ac:dyDescent="0.25">
      <c r="U14">
        <f>1/U13*60</f>
        <v>1200</v>
      </c>
    </row>
    <row r="15" spans="2:21" x14ac:dyDescent="0.25">
      <c r="I15">
        <v>90</v>
      </c>
    </row>
    <row r="16" spans="2:21" x14ac:dyDescent="0.25">
      <c r="F16">
        <v>800</v>
      </c>
      <c r="G16">
        <f>F16/90</f>
        <v>8.8888888888888893</v>
      </c>
      <c r="I16">
        <v>30</v>
      </c>
    </row>
    <row r="17" spans="3:21" x14ac:dyDescent="0.25">
      <c r="C17">
        <v>1700</v>
      </c>
      <c r="D17">
        <v>11.7</v>
      </c>
      <c r="E17">
        <f>C17/D17</f>
        <v>145.29914529914529</v>
      </c>
      <c r="I17">
        <v>15</v>
      </c>
    </row>
    <row r="18" spans="3:21" x14ac:dyDescent="0.25">
      <c r="C18">
        <v>1900</v>
      </c>
      <c r="D18">
        <v>12.28</v>
      </c>
      <c r="E18">
        <f>C18/D18</f>
        <v>154.72312703583063</v>
      </c>
      <c r="F18">
        <f>C18/C17</f>
        <v>1.1176470588235294</v>
      </c>
      <c r="G18">
        <f>E18/E17</f>
        <v>1.0648591684230697</v>
      </c>
    </row>
    <row r="19" spans="3:21" x14ac:dyDescent="0.25">
      <c r="C19">
        <v>2200</v>
      </c>
      <c r="D19">
        <v>12.98</v>
      </c>
      <c r="E19">
        <f>C19/D19</f>
        <v>169.4915254237288</v>
      </c>
      <c r="F19">
        <f>C19/C18</f>
        <v>1.1578947368421053</v>
      </c>
      <c r="G19">
        <f>E19/E18</f>
        <v>1.0954504906333629</v>
      </c>
    </row>
    <row r="21" spans="3:21" x14ac:dyDescent="0.25">
      <c r="C21" t="s">
        <v>29</v>
      </c>
    </row>
    <row r="24" spans="3:21" x14ac:dyDescent="0.25">
      <c r="F24" t="s">
        <v>7</v>
      </c>
    </row>
    <row r="25" spans="3:21" x14ac:dyDescent="0.25">
      <c r="N25">
        <f>700/60</f>
        <v>11.666666666666666</v>
      </c>
    </row>
    <row r="26" spans="3:21" x14ac:dyDescent="0.25">
      <c r="F26" t="s">
        <v>14</v>
      </c>
      <c r="H26" t="s">
        <v>9</v>
      </c>
      <c r="N26">
        <f>35/N25</f>
        <v>3</v>
      </c>
    </row>
    <row r="27" spans="3:21" x14ac:dyDescent="0.25">
      <c r="F27" t="s">
        <v>15</v>
      </c>
      <c r="H27" t="s">
        <v>12</v>
      </c>
      <c r="N27">
        <f>47/N25</f>
        <v>4.0285714285714285</v>
      </c>
      <c r="U27" t="s">
        <v>10</v>
      </c>
    </row>
    <row r="29" spans="3:21" x14ac:dyDescent="0.25">
      <c r="M29" t="s">
        <v>26</v>
      </c>
      <c r="S29" t="s">
        <v>27</v>
      </c>
    </row>
    <row r="30" spans="3:21" x14ac:dyDescent="0.25">
      <c r="M30" t="s">
        <v>19</v>
      </c>
      <c r="N30" t="s">
        <v>16</v>
      </c>
      <c r="O30" t="s">
        <v>12</v>
      </c>
    </row>
    <row r="31" spans="3:21" x14ac:dyDescent="0.25">
      <c r="F31" t="s">
        <v>8</v>
      </c>
      <c r="H31" t="s">
        <v>10</v>
      </c>
      <c r="M31" t="s">
        <v>20</v>
      </c>
      <c r="N31" t="s">
        <v>21</v>
      </c>
      <c r="O31" t="s">
        <v>9</v>
      </c>
      <c r="S31" t="s">
        <v>24</v>
      </c>
      <c r="T31" t="s">
        <v>16</v>
      </c>
      <c r="U31" t="s">
        <v>11</v>
      </c>
    </row>
    <row r="32" spans="3:21" x14ac:dyDescent="0.25">
      <c r="H32" t="s">
        <v>11</v>
      </c>
      <c r="M32" t="s">
        <v>22</v>
      </c>
      <c r="N32" t="s">
        <v>17</v>
      </c>
      <c r="O32" t="s">
        <v>25</v>
      </c>
      <c r="T32" t="s">
        <v>28</v>
      </c>
    </row>
    <row r="33" spans="4:20" x14ac:dyDescent="0.25">
      <c r="M33" t="s">
        <v>23</v>
      </c>
      <c r="N33" t="s">
        <v>18</v>
      </c>
      <c r="O33" t="s">
        <v>13</v>
      </c>
      <c r="T33" t="s">
        <v>21</v>
      </c>
    </row>
    <row r="34" spans="4:20" x14ac:dyDescent="0.25">
      <c r="T34" t="s">
        <v>17</v>
      </c>
    </row>
    <row r="37" spans="4:20" x14ac:dyDescent="0.25">
      <c r="D37">
        <v>80</v>
      </c>
      <c r="E37">
        <v>120</v>
      </c>
      <c r="I37">
        <v>1</v>
      </c>
      <c r="J37">
        <v>0</v>
      </c>
    </row>
    <row r="39" spans="4:20" x14ac:dyDescent="0.25">
      <c r="D39">
        <v>121</v>
      </c>
      <c r="E39">
        <v>0</v>
      </c>
    </row>
    <row r="40" spans="4:20" x14ac:dyDescent="0.25">
      <c r="D40">
        <v>79</v>
      </c>
      <c r="E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Butler</dc:creator>
  <cp:lastModifiedBy>Tim Butler</cp:lastModifiedBy>
  <dcterms:created xsi:type="dcterms:W3CDTF">2023-06-28T04:12:19Z</dcterms:created>
  <dcterms:modified xsi:type="dcterms:W3CDTF">2023-06-29T10:44:55Z</dcterms:modified>
</cp:coreProperties>
</file>