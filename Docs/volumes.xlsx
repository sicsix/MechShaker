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OneDrive\Desktop\"/>
    </mc:Choice>
  </mc:AlternateContent>
  <xr:revisionPtr revIDLastSave="0" documentId="13_ncr:1_{FB72D959-1FF4-44AD-955C-F2BFF67DE25F}" xr6:coauthVersionLast="47" xr6:coauthVersionMax="47" xr10:uidLastSave="{00000000-0000-0000-0000-000000000000}"/>
  <bookViews>
    <workbookView xWindow="40035" yWindow="4620" windowWidth="28800" windowHeight="15345" xr2:uid="{AF638B59-28FE-4F54-B61A-DF166C4AC9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K20" i="1"/>
  <c r="K7" i="1"/>
  <c r="K12" i="1" s="1"/>
  <c r="F12" i="1"/>
  <c r="E8" i="1"/>
</calcChain>
</file>

<file path=xl/sharedStrings.xml><?xml version="1.0" encoding="utf-8"?>
<sst xmlns="http://schemas.openxmlformats.org/spreadsheetml/2006/main" count="11" uniqueCount="11">
  <si>
    <t>dB</t>
  </si>
  <si>
    <t>Vol</t>
  </si>
  <si>
    <t>Ref</t>
  </si>
  <si>
    <t>FX</t>
  </si>
  <si>
    <t>Exp Vol</t>
  </si>
  <si>
    <t>Amp Ref</t>
  </si>
  <si>
    <t>Amp</t>
  </si>
  <si>
    <t>dB diff</t>
  </si>
  <si>
    <t>total</t>
  </si>
  <si>
    <t>div</t>
  </si>
  <si>
    <t>ke 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</si>
</sst>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E+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D176-EBBE-4E43-802C-F4BFBADE4C5C}">
  <dimension ref="E6:N42"/>
  <sheetViews>
    <sheetView tabSelected="1" workbookViewId="0">
      <selection activeCell="K18" sqref="K18"/>
    </sheetView>
  </sheetViews>
  <sheetFormatPr defaultRowHeight="15" x14ac:dyDescent="0.25"/>
  <cols>
    <col min="11" max="11" width="28.5703125" customWidth="1"/>
  </cols>
  <sheetData>
    <row r="6" spans="5:14" x14ac:dyDescent="0.25">
      <c r="J6" t="s">
        <v>0</v>
      </c>
      <c r="K6" t="s">
        <v>1</v>
      </c>
    </row>
    <row r="7" spans="5:14" x14ac:dyDescent="0.25">
      <c r="F7">
        <v>-18</v>
      </c>
      <c r="I7" t="s">
        <v>2</v>
      </c>
      <c r="J7">
        <v>-12</v>
      </c>
      <c r="K7" s="2">
        <f>EXP(J7*0.115129254649702)</f>
        <v>0.2511886431509589</v>
      </c>
    </row>
    <row r="8" spans="5:14" x14ac:dyDescent="0.25">
      <c r="E8">
        <f>10^(F7/20)</f>
        <v>0.12589254117941667</v>
      </c>
    </row>
    <row r="11" spans="5:14" x14ac:dyDescent="0.25">
      <c r="J11" t="s">
        <v>4</v>
      </c>
    </row>
    <row r="12" spans="5:14" x14ac:dyDescent="0.25">
      <c r="F12">
        <f>EXP(F7*0.115129254649702)</f>
        <v>0.12589254117941737</v>
      </c>
      <c r="I12" t="s">
        <v>3</v>
      </c>
      <c r="J12">
        <v>2.5000000000000001E-2</v>
      </c>
      <c r="K12">
        <f>LN(J12/K7)*8.68588963806503</f>
        <v>-20.041199826559261</v>
      </c>
    </row>
    <row r="14" spans="5:14" x14ac:dyDescent="0.25">
      <c r="N14">
        <v>1.0000000000000301E-5</v>
      </c>
    </row>
    <row r="20" spans="9:11" x14ac:dyDescent="0.25">
      <c r="K20" s="1">
        <f>EXP(J20*0.115129254649702)</f>
        <v>1</v>
      </c>
    </row>
    <row r="23" spans="9:11" x14ac:dyDescent="0.25">
      <c r="I23" t="s">
        <v>5</v>
      </c>
      <c r="J23">
        <v>2</v>
      </c>
    </row>
    <row r="24" spans="9:11" x14ac:dyDescent="0.25">
      <c r="I24" t="s">
        <v>6</v>
      </c>
      <c r="J24">
        <v>1</v>
      </c>
    </row>
    <row r="25" spans="9:11" x14ac:dyDescent="0.25">
      <c r="I25" t="s">
        <v>7</v>
      </c>
      <c r="J25">
        <f>LN(J24/J23)*8.68588963806503</f>
        <v>-6.0205999132796189</v>
      </c>
    </row>
    <row r="33" spans="7:10" x14ac:dyDescent="0.25">
      <c r="G33" t="s">
        <v>10</v>
      </c>
      <c r="H33">
        <v>2.6372259499999998E-2</v>
      </c>
      <c r="J33">
        <v>0.19600000000000001</v>
      </c>
    </row>
    <row r="34" spans="7:10" x14ac:dyDescent="0.25">
      <c r="H34">
        <v>49.208831799999999</v>
      </c>
      <c r="J34">
        <v>44</v>
      </c>
    </row>
    <row r="35" spans="7:10" x14ac:dyDescent="0.25">
      <c r="H35">
        <v>73.813247700000005</v>
      </c>
      <c r="J35">
        <v>66</v>
      </c>
    </row>
    <row r="38" spans="7:10" x14ac:dyDescent="0.25">
      <c r="G38" t="s">
        <v>8</v>
      </c>
      <c r="H38">
        <v>4.3999999999999997E-2</v>
      </c>
      <c r="J38">
        <v>2.1999999999999999E-2</v>
      </c>
    </row>
    <row r="39" spans="7:10" x14ac:dyDescent="0.25">
      <c r="H39">
        <v>0.11600000000000001</v>
      </c>
      <c r="J39">
        <v>5.5E-2</v>
      </c>
    </row>
    <row r="41" spans="7:10" x14ac:dyDescent="0.25">
      <c r="G41" t="s">
        <v>9</v>
      </c>
      <c r="H41">
        <v>3.1E-2</v>
      </c>
    </row>
    <row r="42" spans="7:10" x14ac:dyDescent="0.25">
      <c r="H42">
        <v>8.2000000000000003E-2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6A98-DA67-44CF-83B7-158E470161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Butler</dc:creator>
  <cp:lastModifiedBy>Tim Butler</cp:lastModifiedBy>
  <dcterms:created xsi:type="dcterms:W3CDTF">2023-07-03T22:29:26Z</dcterms:created>
  <dcterms:modified xsi:type="dcterms:W3CDTF">2023-07-10T11:06:47Z</dcterms:modified>
</cp:coreProperties>
</file>