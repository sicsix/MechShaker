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im\OneDrive\Desktop\"/>
    </mc:Choice>
  </mc:AlternateContent>
  <xr:revisionPtr revIDLastSave="0" documentId="13_ncr:1_{A1EE7E27-CD3E-4F13-955B-9759272A7F93}" xr6:coauthVersionLast="47" xr6:coauthVersionMax="47" xr10:uidLastSave="{00000000-0000-0000-0000-000000000000}"/>
  <bookViews>
    <workbookView xWindow="38280" yWindow="-120" windowWidth="38640" windowHeight="21120" xr2:uid="{69599D98-41A7-4A11-9F72-3912E4850F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0" i="1" l="1"/>
  <c r="L39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L17" i="1"/>
  <c r="M17" i="1" s="1"/>
  <c r="L11" i="1"/>
  <c r="M11" i="1" s="1"/>
  <c r="Z12" i="1"/>
  <c r="Z13" i="1" s="1"/>
  <c r="AA10" i="1" s="1"/>
  <c r="T38" i="1"/>
  <c r="T37" i="1"/>
  <c r="G35" i="1"/>
  <c r="G36" i="1"/>
  <c r="Y18" i="1"/>
  <c r="S37" i="1"/>
  <c r="S38" i="1"/>
  <c r="L31" i="1"/>
  <c r="M31" i="1" s="1"/>
  <c r="L32" i="1"/>
  <c r="M32" i="1" s="1"/>
  <c r="L27" i="1"/>
  <c r="M27" i="1" s="1"/>
  <c r="L14" i="1"/>
  <c r="M14" i="1" s="1"/>
  <c r="L12" i="1"/>
  <c r="N12" i="1" s="1"/>
  <c r="L9" i="1"/>
  <c r="N9" i="1" s="1"/>
  <c r="L8" i="1"/>
  <c r="N8" i="1" s="1"/>
  <c r="L13" i="1"/>
  <c r="N13" i="1" s="1"/>
  <c r="L15" i="1"/>
  <c r="N15" i="1" s="1"/>
  <c r="L16" i="1"/>
  <c r="N16" i="1" s="1"/>
  <c r="L24" i="1"/>
  <c r="N24" i="1" s="1"/>
  <c r="L25" i="1"/>
  <c r="N25" i="1" s="1"/>
  <c r="L23" i="1"/>
  <c r="N23" i="1" s="1"/>
  <c r="L26" i="1"/>
  <c r="N26" i="1" s="1"/>
  <c r="L28" i="1"/>
  <c r="N28" i="1" s="1"/>
  <c r="L29" i="1"/>
  <c r="N29" i="1" s="1"/>
  <c r="L20" i="1"/>
  <c r="N20" i="1" s="1"/>
  <c r="L21" i="1"/>
  <c r="N21" i="1" s="1"/>
  <c r="L19" i="1"/>
  <c r="N19" i="1" s="1"/>
  <c r="L10" i="1"/>
  <c r="N10" i="1" s="1"/>
  <c r="L18" i="1"/>
  <c r="N18" i="1" s="1"/>
  <c r="L22" i="1"/>
  <c r="N22" i="1" s="1"/>
  <c r="L30" i="1"/>
  <c r="N30" i="1" s="1"/>
  <c r="L7" i="1"/>
  <c r="N7" i="1" s="1"/>
  <c r="K3" i="1"/>
  <c r="K2" i="1"/>
  <c r="C1" i="1"/>
  <c r="P11" i="1" l="1"/>
  <c r="P17" i="1"/>
  <c r="O17" i="1"/>
  <c r="N17" i="1"/>
  <c r="O11" i="1"/>
  <c r="N11" i="1"/>
  <c r="O31" i="1"/>
  <c r="O30" i="1"/>
  <c r="O27" i="1"/>
  <c r="O24" i="1"/>
  <c r="O23" i="1"/>
  <c r="O22" i="1"/>
  <c r="O28" i="1"/>
  <c r="O21" i="1"/>
  <c r="O26" i="1"/>
  <c r="O20" i="1"/>
  <c r="O29" i="1"/>
  <c r="O25" i="1"/>
  <c r="O19" i="1"/>
  <c r="O16" i="1"/>
  <c r="O10" i="1"/>
  <c r="O14" i="1"/>
  <c r="O8" i="1"/>
  <c r="O18" i="1"/>
  <c r="O15" i="1"/>
  <c r="O7" i="1"/>
  <c r="O13" i="1"/>
  <c r="O12" i="1"/>
  <c r="O9" i="1"/>
  <c r="O32" i="1"/>
  <c r="P31" i="1"/>
  <c r="P32" i="1"/>
  <c r="P27" i="1"/>
  <c r="P30" i="1"/>
  <c r="P22" i="1"/>
  <c r="P18" i="1"/>
  <c r="P10" i="1"/>
  <c r="P19" i="1"/>
  <c r="P21" i="1"/>
  <c r="P20" i="1"/>
  <c r="P29" i="1"/>
  <c r="P28" i="1"/>
  <c r="P26" i="1"/>
  <c r="P23" i="1"/>
  <c r="P25" i="1"/>
  <c r="P24" i="1"/>
  <c r="P16" i="1"/>
  <c r="P14" i="1"/>
  <c r="P15" i="1"/>
  <c r="P13" i="1"/>
  <c r="P8" i="1"/>
  <c r="P9" i="1"/>
  <c r="P12" i="1"/>
  <c r="P7" i="1"/>
  <c r="N31" i="1"/>
  <c r="N32" i="1"/>
  <c r="N27" i="1"/>
  <c r="N14" i="1"/>
  <c r="M23" i="1"/>
  <c r="M10" i="1"/>
  <c r="M29" i="1"/>
  <c r="M28" i="1"/>
  <c r="M25" i="1"/>
  <c r="M21" i="1"/>
  <c r="M19" i="1"/>
  <c r="M20" i="1"/>
  <c r="M26" i="1"/>
  <c r="M30" i="1"/>
  <c r="M22" i="1"/>
  <c r="M8" i="1"/>
  <c r="M9" i="1"/>
  <c r="M18" i="1"/>
  <c r="M24" i="1"/>
  <c r="M16" i="1"/>
  <c r="M15" i="1"/>
  <c r="M13" i="1"/>
  <c r="M12" i="1"/>
  <c r="M7" i="1"/>
  <c r="Q34" i="1" l="1"/>
  <c r="O34" i="1"/>
  <c r="AA2" i="1"/>
  <c r="AA3" i="1"/>
  <c r="V2" i="1"/>
  <c r="V3" i="1"/>
  <c r="T17" i="1" s="1"/>
  <c r="N34" i="1"/>
  <c r="S3" i="1"/>
  <c r="S2" i="1"/>
  <c r="R15" i="1" l="1"/>
  <c r="R17" i="1"/>
  <c r="U11" i="1"/>
  <c r="U17" i="1"/>
  <c r="S13" i="1"/>
  <c r="S17" i="1"/>
  <c r="W11" i="1"/>
  <c r="W17" i="1"/>
  <c r="X15" i="1"/>
  <c r="X17" i="1"/>
  <c r="W28" i="1"/>
  <c r="W30" i="1"/>
  <c r="R19" i="1"/>
  <c r="S19" i="1"/>
  <c r="R22" i="1"/>
  <c r="W19" i="1"/>
  <c r="W24" i="1"/>
  <c r="W20" i="1"/>
  <c r="R9" i="1"/>
  <c r="S9" i="1"/>
  <c r="W23" i="1"/>
  <c r="W22" i="1"/>
  <c r="W21" i="1"/>
  <c r="S22" i="1"/>
  <c r="W29" i="1"/>
  <c r="W25" i="1"/>
  <c r="S27" i="1"/>
  <c r="W10" i="1"/>
  <c r="R27" i="1"/>
  <c r="W27" i="1"/>
  <c r="S15" i="1"/>
  <c r="W26" i="1"/>
  <c r="S20" i="1"/>
  <c r="W8" i="1"/>
  <c r="W7" i="1"/>
  <c r="W12" i="1"/>
  <c r="R14" i="1"/>
  <c r="R11" i="1"/>
  <c r="T32" i="1"/>
  <c r="T11" i="1"/>
  <c r="W16" i="1"/>
  <c r="W14" i="1"/>
  <c r="W15" i="1"/>
  <c r="S26" i="1"/>
  <c r="S11" i="1"/>
  <c r="W18" i="1"/>
  <c r="W9" i="1"/>
  <c r="W13" i="1"/>
  <c r="X9" i="1"/>
  <c r="X11" i="1"/>
  <c r="U27" i="1"/>
  <c r="W31" i="1"/>
  <c r="W32" i="1"/>
  <c r="X23" i="1"/>
  <c r="X30" i="1"/>
  <c r="X7" i="1"/>
  <c r="X32" i="1"/>
  <c r="X12" i="1"/>
  <c r="X21" i="1"/>
  <c r="X13" i="1"/>
  <c r="X14" i="1"/>
  <c r="X19" i="1"/>
  <c r="X22" i="1"/>
  <c r="X10" i="1"/>
  <c r="X16" i="1"/>
  <c r="X27" i="1"/>
  <c r="S31" i="1"/>
  <c r="X29" i="1"/>
  <c r="X31" i="1"/>
  <c r="X20" i="1"/>
  <c r="U13" i="1"/>
  <c r="U15" i="1"/>
  <c r="U25" i="1"/>
  <c r="U24" i="1"/>
  <c r="U30" i="1"/>
  <c r="U16" i="1"/>
  <c r="U29" i="1"/>
  <c r="U23" i="1"/>
  <c r="U28" i="1"/>
  <c r="U8" i="1"/>
  <c r="U19" i="1"/>
  <c r="U12" i="1"/>
  <c r="U18" i="1"/>
  <c r="U10" i="1"/>
  <c r="U21" i="1"/>
  <c r="U20" i="1"/>
  <c r="U9" i="1"/>
  <c r="U26" i="1"/>
  <c r="U22" i="1"/>
  <c r="U7" i="1"/>
  <c r="X26" i="1"/>
  <c r="X8" i="1"/>
  <c r="X25" i="1"/>
  <c r="X18" i="1"/>
  <c r="X28" i="1"/>
  <c r="X24" i="1"/>
  <c r="U32" i="1"/>
  <c r="U14" i="1"/>
  <c r="U31" i="1"/>
  <c r="S28" i="1"/>
  <c r="S30" i="1"/>
  <c r="R18" i="1"/>
  <c r="R28" i="1"/>
  <c r="R20" i="1"/>
  <c r="R10" i="1"/>
  <c r="R24" i="1"/>
  <c r="R31" i="1"/>
  <c r="R30" i="1"/>
  <c r="S12" i="1"/>
  <c r="R12" i="1"/>
  <c r="S23" i="1"/>
  <c r="S21" i="1"/>
  <c r="S10" i="1"/>
  <c r="S24" i="1"/>
  <c r="S18" i="1"/>
  <c r="R23" i="1"/>
  <c r="S16" i="1"/>
  <c r="R16" i="1"/>
  <c r="T20" i="1"/>
  <c r="T22" i="1"/>
  <c r="T30" i="1"/>
  <c r="T19" i="1"/>
  <c r="T21" i="1"/>
  <c r="T23" i="1"/>
  <c r="T25" i="1"/>
  <c r="T26" i="1"/>
  <c r="T29" i="1"/>
  <c r="T10" i="1"/>
  <c r="T28" i="1"/>
  <c r="T24" i="1"/>
  <c r="T16" i="1"/>
  <c r="T9" i="1"/>
  <c r="T13" i="1"/>
  <c r="T7" i="1"/>
  <c r="T8" i="1"/>
  <c r="T15" i="1"/>
  <c r="T12" i="1"/>
  <c r="T18" i="1"/>
  <c r="R8" i="1"/>
  <c r="T27" i="1"/>
  <c r="S8" i="1"/>
  <c r="T31" i="1"/>
  <c r="R21" i="1"/>
  <c r="T14" i="1"/>
  <c r="S29" i="1"/>
  <c r="S14" i="1"/>
  <c r="R13" i="1"/>
  <c r="R29" i="1"/>
  <c r="S25" i="1"/>
  <c r="R7" i="1"/>
  <c r="R25" i="1"/>
  <c r="S7" i="1"/>
  <c r="S32" i="1"/>
  <c r="R26" i="1"/>
  <c r="R32" i="1"/>
</calcChain>
</file>

<file path=xl/sharedStrings.xml><?xml version="1.0" encoding="utf-8"?>
<sst xmlns="http://schemas.openxmlformats.org/spreadsheetml/2006/main" count="129" uniqueCount="67">
  <si>
    <t>Planes</t>
  </si>
  <si>
    <t>Name</t>
  </si>
  <si>
    <t>Velocity</t>
  </si>
  <si>
    <t>Mass</t>
  </si>
  <si>
    <t>RPM</t>
  </si>
  <si>
    <t>Calibre</t>
  </si>
  <si>
    <t>MG17</t>
  </si>
  <si>
    <t>KE (kJ)</t>
  </si>
  <si>
    <t>MG151/20</t>
  </si>
  <si>
    <t>I-16 type 24 (0, 1)</t>
  </si>
  <si>
    <t>I-16 type 24 (2, 3)</t>
  </si>
  <si>
    <t>ShKAS</t>
  </si>
  <si>
    <t>Faction</t>
  </si>
  <si>
    <t>Axis</t>
  </si>
  <si>
    <t>Allies</t>
  </si>
  <si>
    <t>UB</t>
  </si>
  <si>
    <t>LaGG-3 ser.29 (0)</t>
  </si>
  <si>
    <t>LaGG-3 ser.29 (1)</t>
  </si>
  <si>
    <t>ShVAK</t>
  </si>
  <si>
    <t>VYa-23</t>
  </si>
  <si>
    <t>Sh-37</t>
  </si>
  <si>
    <t>Type</t>
  </si>
  <si>
    <t>AP</t>
  </si>
  <si>
    <t>AP/HE</t>
  </si>
  <si>
    <t>HE</t>
  </si>
  <si>
    <t>La-5 ser.8 (0,1)
La-5FN ser.2 (0,1)</t>
  </si>
  <si>
    <t>BS</t>
  </si>
  <si>
    <t>MiG-3 ser.24 (0,1)</t>
  </si>
  <si>
    <t>MiG-3 ser.24 (0,1 / 2)</t>
  </si>
  <si>
    <t>Calculated RPM</t>
  </si>
  <si>
    <t>750
800</t>
  </si>
  <si>
    <t>753.8-761.4
797.9</t>
  </si>
  <si>
    <t>KE Sqrd</t>
  </si>
  <si>
    <t>KE Log</t>
  </si>
  <si>
    <t>Tests-&gt;</t>
  </si>
  <si>
    <t>Freq Min</t>
  </si>
  <si>
    <t>Freq Max</t>
  </si>
  <si>
    <t>Amp Min</t>
  </si>
  <si>
    <t>Amp Max</t>
  </si>
  <si>
    <t>Freq</t>
  </si>
  <si>
    <t>Min KE</t>
  </si>
  <si>
    <t>Max KE</t>
  </si>
  <si>
    <t>Amp</t>
  </si>
  <si>
    <t>Bf 109 F-4 (0,1)</t>
  </si>
  <si>
    <t>Bf 109 F-4 (2)</t>
  </si>
  <si>
    <t>Calculate min KE at runtime</t>
  </si>
  <si>
    <t>KU Cubed</t>
  </si>
  <si>
    <t>KE 4</t>
  </si>
  <si>
    <t>Num</t>
  </si>
  <si>
    <t>Count</t>
  </si>
  <si>
    <t>SqrtCount</t>
  </si>
  <si>
    <t>Biggest KE</t>
  </si>
  <si>
    <t>Smallest KE</t>
  </si>
  <si>
    <t>FreqLog</t>
  </si>
  <si>
    <t>Amp Log</t>
  </si>
  <si>
    <t>MaxLog</t>
  </si>
  <si>
    <t>MinLog</t>
  </si>
  <si>
    <t>KE Ln</t>
  </si>
  <si>
    <t>Amp Ln</t>
  </si>
  <si>
    <t>FreqLn</t>
  </si>
  <si>
    <t>MinLn</t>
  </si>
  <si>
    <t>MaxLn</t>
  </si>
  <si>
    <t>KE Cap</t>
  </si>
  <si>
    <t>Offset</t>
  </si>
  <si>
    <t>2x</t>
  </si>
  <si>
    <t>MG131</t>
  </si>
  <si>
    <t>Fw 190 D-9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</si>
</sst>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000000"/>
    <numFmt numFmtId="166" formatCode="0.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/>
    </xf>
    <xf numFmtId="165" fontId="0" fillId="0" borderId="0" xfId="0" applyNumberFormat="1" applyAlignment="1">
      <alignment vertical="top"/>
    </xf>
    <xf numFmtId="0" fontId="0" fillId="0" borderId="0" xfId="0" applyAlignment="1">
      <alignment horizontal="right"/>
    </xf>
    <xf numFmtId="0" fontId="0" fillId="0" borderId="0" xfId="0" applyAlignment="1">
      <alignment horizontal="right" vertical="top"/>
    </xf>
    <xf numFmtId="0" fontId="0" fillId="0" borderId="0" xfId="0" applyAlignment="1">
      <alignment horizontal="right" vertical="top" wrapText="1"/>
    </xf>
    <xf numFmtId="0" fontId="0" fillId="0" borderId="0" xfId="0" applyAlignment="1">
      <alignment horizontal="left"/>
    </xf>
    <xf numFmtId="166" fontId="0" fillId="0" borderId="0" xfId="0" applyNumberFormat="1" applyAlignment="1">
      <alignment vertical="top"/>
    </xf>
    <xf numFmtId="2" fontId="0" fillId="0" borderId="0" xfId="0" applyNumberFormat="1" applyAlignment="1">
      <alignment vertical="top"/>
    </xf>
    <xf numFmtId="164" fontId="0" fillId="2" borderId="0" xfId="0" applyNumberFormat="1" applyFill="1" applyAlignment="1">
      <alignment vertical="top"/>
    </xf>
    <xf numFmtId="2" fontId="0" fillId="2" borderId="0" xfId="0" applyNumberFormat="1" applyFill="1" applyAlignment="1">
      <alignment vertical="top"/>
    </xf>
  </cellXfs>
  <cellStyles count="1">
    <cellStyle name="Normal" xfId="0" builtinId="0"/>
  </cellStyles>
  <dxfs count="23">
    <dxf>
      <numFmt numFmtId="164" formatCode="0.000"/>
      <fill>
        <patternFill patternType="solid">
          <fgColor indexed="64"/>
          <bgColor rgb="FFFFFF00"/>
        </patternFill>
      </fill>
      <alignment horizontal="general" vertical="top" textRotation="0" indent="0" justifyLastLine="0" shrinkToFit="0" readingOrder="0"/>
    </dxf>
    <dxf>
      <numFmt numFmtId="164" formatCode="0.000"/>
      <alignment horizontal="general" vertical="top" textRotation="0" indent="0" justifyLastLine="0" shrinkToFit="0" readingOrder="0"/>
    </dxf>
    <dxf>
      <numFmt numFmtId="2" formatCode="0.00"/>
      <fill>
        <patternFill patternType="solid">
          <fgColor indexed="64"/>
          <bgColor rgb="FFFFFF00"/>
        </patternFill>
      </fill>
      <alignment horizontal="general" vertical="top" textRotation="0" indent="0" justifyLastLine="0" shrinkToFit="0" readingOrder="0"/>
    </dxf>
    <dxf>
      <numFmt numFmtId="164" formatCode="0.000"/>
      <fill>
        <patternFill patternType="solid">
          <fgColor indexed="64"/>
          <bgColor rgb="FFFFFF00"/>
        </patternFill>
      </fill>
      <alignment horizontal="general" vertical="top" textRotation="0" wrapText="0" indent="0" justifyLastLine="0" shrinkToFit="0" readingOrder="0"/>
    </dxf>
    <dxf>
      <numFmt numFmtId="164" formatCode="0.000"/>
      <alignment horizontal="general" vertical="top" textRotation="0" wrapText="0" indent="0" justifyLastLine="0" shrinkToFit="0" readingOrder="0"/>
    </dxf>
    <dxf>
      <numFmt numFmtId="164" formatCode="0.000"/>
      <alignment horizontal="general" vertical="top" textRotation="0" indent="0" justifyLastLine="0" shrinkToFit="0" readingOrder="0"/>
    </dxf>
    <dxf>
      <numFmt numFmtId="164" formatCode="0.000"/>
      <alignment horizontal="general" vertical="top" textRotation="0" wrapText="0" indent="0" justifyLastLine="0" shrinkToFit="0" readingOrder="0"/>
    </dxf>
    <dxf>
      <numFmt numFmtId="2" formatCode="0.00"/>
      <alignment horizontal="general" vertical="top" textRotation="0" indent="0" justifyLastLine="0" shrinkToFit="0" readingOrder="0"/>
    </dxf>
    <dxf>
      <numFmt numFmtId="2" formatCode="0.00"/>
      <alignment horizontal="general" vertical="top" textRotation="0" indent="0" justifyLastLine="0" shrinkToFit="0" readingOrder="0"/>
    </dxf>
    <dxf>
      <numFmt numFmtId="164" formatCode="0.000"/>
      <alignment horizontal="general" vertical="top" textRotation="0" wrapText="0" indent="0" justifyLastLine="0" shrinkToFit="0" readingOrder="0"/>
    </dxf>
    <dxf>
      <numFmt numFmtId="164" formatCode="0.000"/>
      <alignment horizontal="general" vertical="top" textRotation="0" indent="0" justifyLastLine="0" shrinkToFit="0" readingOrder="0"/>
    </dxf>
    <dxf>
      <numFmt numFmtId="166" formatCode="0.0"/>
      <alignment horizontal="general" vertical="top" textRotation="0" indent="0" justifyLastLine="0" shrinkToFit="0" readingOrder="0"/>
    </dxf>
    <dxf>
      <numFmt numFmtId="166" formatCode="0.0"/>
      <alignment horizontal="general" vertical="top" textRotation="0" indent="0" justifyLastLine="0" shrinkToFit="0" readingOrder="0"/>
    </dxf>
    <dxf>
      <numFmt numFmtId="165" formatCode="0.0000000000"/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right" vertical="top" textRotation="0" wrapText="0" indent="0" justifyLastLine="0" shrinkToFit="0" readingOrder="0"/>
    </dxf>
    <dxf>
      <alignment horizontal="right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D128D4-EEBF-44FD-A269-7AB09E6EE212}" name="Table1" displayName="Table1" ref="C6:X32" totalsRowShown="0" dataDxfId="22">
  <autoFilter ref="C6:X32" xr:uid="{C9D128D4-EEBF-44FD-A269-7AB09E6EE212}"/>
  <sortState xmlns:xlrd2="http://schemas.microsoft.com/office/spreadsheetml/2017/richdata2" ref="C7:X32">
    <sortCondition descending="1" ref="X6:X32"/>
  </sortState>
  <tableColumns count="22">
    <tableColumn id="1" xr3:uid="{EFDFCD4C-7057-4187-A5CB-4B69BAF0A479}" name="Name" dataDxfId="21"/>
    <tableColumn id="6" xr3:uid="{DF3D32ED-1C83-4B60-8587-58658341D83F}" name="Calibre" dataDxfId="20"/>
    <tableColumn id="8" xr3:uid="{0D31AA1E-69A1-47ED-A0BF-5E033BBB5B84}" name="Faction" dataDxfId="19"/>
    <tableColumn id="2" xr3:uid="{F1929C7A-125C-459A-AF7E-334C7A13D34A}" name="Planes" dataDxfId="18"/>
    <tableColumn id="3" xr3:uid="{3E2BF68E-7778-4169-90B6-19D9216D5099}" name="RPM" dataDxfId="17"/>
    <tableColumn id="10" xr3:uid="{2007FDE5-8285-481A-A0E0-0B487156E9E0}" name="Calculated RPM" dataDxfId="16"/>
    <tableColumn id="9" xr3:uid="{6946C800-5512-4F47-AB1F-DF9F8D696600}" name="Type" dataDxfId="15"/>
    <tableColumn id="4" xr3:uid="{FC6FE781-61E3-421A-A083-46C8DC52471A}" name="Velocity" dataDxfId="14"/>
    <tableColumn id="5" xr3:uid="{CA71A2E6-C7E7-4ACA-B5A2-89641CA11208}" name="Mass" dataDxfId="13"/>
    <tableColumn id="7" xr3:uid="{D090FAB7-6384-429B-B8BF-8B4BD63B8E4E}" name="KE (kJ)" dataDxfId="12">
      <calculatedColumnFormula>(0.5 *Table1[[#This Row],[Mass]]*Table1[[#This Row],[Velocity]]^2)/1000</calculatedColumnFormula>
    </tableColumn>
    <tableColumn id="11" xr3:uid="{9CA5A586-8427-47DB-BCD0-1C84207A7B77}" name="KE Sqrd" dataDxfId="11">
      <calculatedColumnFormula>SQRT(Table1[[#This Row],[KE (kJ)]])</calculatedColumnFormula>
    </tableColumn>
    <tableColumn id="12" xr3:uid="{7E908D59-20F7-499A-9725-FBEE88B3AB6D}" name="KE Log" dataDxfId="10">
      <calculatedColumnFormula>LOG10(Table1[[#This Row],[KE (kJ)]])</calculatedColumnFormula>
    </tableColumn>
    <tableColumn id="19" xr3:uid="{58497B6C-6015-4330-937E-13F01A5E8CDE}" name="KE Ln" dataDxfId="9">
      <calculatedColumnFormula>LN(Table1[[#This Row],[KE (kJ)]])</calculatedColumnFormula>
    </tableColumn>
    <tableColumn id="15" xr3:uid="{96FC1522-D5DD-4B37-854B-34F2C4E6D739}" name="KU Cubed" dataDxfId="4">
      <calculatedColumnFormula>POWER(Table1[[#This Row],[KE (kJ)]],1/3)</calculatedColumnFormula>
    </tableColumn>
    <tableColumn id="16" xr3:uid="{8D110707-3EF4-43CF-8FA0-56009AE9A3AD}" name="KE 4" dataDxfId="3">
      <calculatedColumnFormula>POWER(Table1[[#This Row],[KE (kJ)]],1/6)</calculatedColumnFormula>
    </tableColumn>
    <tableColumn id="13" xr3:uid="{14A8E969-C2D1-419B-A4D6-2F864CEEBA95}" name="Freq" dataDxfId="2">
      <calculatedColumnFormula>$J$2 + (1-(Table1[[#This Row],[KE 4]]-$S$2)/($S$3-$S$2))*($J$3-$J$2)</calculatedColumnFormula>
    </tableColumn>
    <tableColumn id="14" xr3:uid="{2C78CC0F-D8B6-4D18-883A-BAA6F72C6A39}" name="Amp" dataDxfId="0">
      <calculatedColumnFormula>Table1[[#This Row],[KE 4]]/$S$3</calculatedColumnFormula>
    </tableColumn>
    <tableColumn id="17" xr3:uid="{689B4112-6B11-4E94-A33A-09A3DD3381F2}" name="Amp Log" dataDxfId="1">
      <calculatedColumnFormula>Table1[[#This Row],[KE Log]]/$V$3</calculatedColumnFormula>
    </tableColumn>
    <tableColumn id="18" xr3:uid="{D508470D-3BED-4B49-A23D-A42FA2FD0D10}" name="FreqLog" dataDxfId="8">
      <calculatedColumnFormula>$J$2 + (1-(Table1[[#This Row],[KE Log]]-$V$2)/($Q$3-$V$2))*($J$3-$J$2)</calculatedColumnFormula>
    </tableColumn>
    <tableColumn id="20" xr3:uid="{EB932E30-8A42-4F41-812A-A5717DBCE6B4}" name="Amp Ln" dataDxfId="5">
      <calculatedColumnFormula>(MIN(Table1[[#This Row],[KE Ln]]+$V$4,$AA$3))/($AA$3)</calculatedColumnFormula>
    </tableColumn>
    <tableColumn id="22" xr3:uid="{BE69DA6D-9022-4A12-89E8-C8FFEDC90604}" name="2x" dataDxfId="6">
      <calculatedColumnFormula>(Table1[[#This Row],[Amp Ln]]/$Z$12)*2</calculatedColumnFormula>
    </tableColumn>
    <tableColumn id="21" xr3:uid="{19656DC1-853F-493C-B3EB-68F651D37B29}" name="FreqLn" dataDxfId="7">
      <calculatedColumnFormula>$J$2 + (1-(Table1[[#This Row],[KE Ln]]-$AA$2)/($Q$3-$AA$2))*($J$3-$J$2)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7A646-193C-40AA-9FB6-7BE9D25DE664}">
  <dimension ref="C1:AA40"/>
  <sheetViews>
    <sheetView tabSelected="1" zoomScale="87" zoomScaleNormal="87" workbookViewId="0">
      <selection activeCell="R34" sqref="R34"/>
    </sheetView>
  </sheetViews>
  <sheetFormatPr defaultRowHeight="15" x14ac:dyDescent="0.25"/>
  <cols>
    <col min="3" max="3" width="12.7109375" bestFit="1" customWidth="1"/>
    <col min="6" max="6" width="46.5703125" customWidth="1"/>
    <col min="7" max="7" width="9.140625" style="5"/>
    <col min="8" max="8" width="17.28515625" style="5" bestFit="1" customWidth="1"/>
    <col min="9" max="9" width="11.85546875" bestFit="1" customWidth="1"/>
    <col min="10" max="10" width="10.42578125" customWidth="1"/>
    <col min="11" max="11" width="17.28515625" customWidth="1"/>
  </cols>
  <sheetData>
    <row r="1" spans="3:27" x14ac:dyDescent="0.25">
      <c r="C1">
        <f>700/60</f>
        <v>11.666666666666666</v>
      </c>
    </row>
    <row r="2" spans="3:27" x14ac:dyDescent="0.25">
      <c r="E2">
        <v>7</v>
      </c>
      <c r="F2">
        <v>2</v>
      </c>
      <c r="I2" t="s">
        <v>35</v>
      </c>
      <c r="J2">
        <v>20</v>
      </c>
      <c r="K2">
        <f>J2*1.5</f>
        <v>30</v>
      </c>
      <c r="L2" t="s">
        <v>37</v>
      </c>
      <c r="M2">
        <v>0</v>
      </c>
      <c r="R2" t="s">
        <v>40</v>
      </c>
      <c r="S2">
        <f>MIN(Table1[KE 4])</f>
        <v>1.3188967152713644</v>
      </c>
      <c r="U2" t="s">
        <v>56</v>
      </c>
      <c r="V2">
        <f>MIN(Table1[KE Log])</f>
        <v>0.72126471985574592</v>
      </c>
      <c r="X2">
        <v>0.05</v>
      </c>
      <c r="Z2" t="s">
        <v>60</v>
      </c>
      <c r="AA2">
        <f>MIN(Table1[KE Ln])</f>
        <v>1.6607733920423668</v>
      </c>
    </row>
    <row r="3" spans="3:27" x14ac:dyDescent="0.25">
      <c r="I3" t="s">
        <v>36</v>
      </c>
      <c r="J3">
        <v>80</v>
      </c>
      <c r="K3">
        <f>J3*1.5</f>
        <v>120</v>
      </c>
      <c r="L3" t="s">
        <v>38</v>
      </c>
      <c r="M3">
        <v>1</v>
      </c>
      <c r="P3" t="s">
        <v>62</v>
      </c>
      <c r="Q3">
        <v>7.83</v>
      </c>
      <c r="R3" t="s">
        <v>41</v>
      </c>
      <c r="S3">
        <f>MAX(Table1[KE 4])</f>
        <v>3.687686191995684</v>
      </c>
      <c r="U3" t="s">
        <v>55</v>
      </c>
      <c r="V3">
        <f>MAX(Table1[KE Log])</f>
        <v>3.4005237429178199</v>
      </c>
      <c r="X3">
        <v>0.5</v>
      </c>
      <c r="Z3" t="s">
        <v>61</v>
      </c>
      <c r="AA3">
        <f>MAX(Table1[KE Ln])</f>
        <v>7.8299952788148888</v>
      </c>
    </row>
    <row r="4" spans="3:27" x14ac:dyDescent="0.25">
      <c r="D4" t="s">
        <v>45</v>
      </c>
      <c r="U4" t="s">
        <v>63</v>
      </c>
      <c r="V4">
        <v>0</v>
      </c>
    </row>
    <row r="5" spans="3:27" x14ac:dyDescent="0.25">
      <c r="M5" t="s">
        <v>34</v>
      </c>
    </row>
    <row r="6" spans="3:27" x14ac:dyDescent="0.25">
      <c r="C6" t="s">
        <v>1</v>
      </c>
      <c r="D6" t="s">
        <v>5</v>
      </c>
      <c r="E6" t="s">
        <v>12</v>
      </c>
      <c r="F6" t="s">
        <v>0</v>
      </c>
      <c r="G6" s="8" t="s">
        <v>4</v>
      </c>
      <c r="H6" s="8" t="s">
        <v>29</v>
      </c>
      <c r="I6" t="s">
        <v>21</v>
      </c>
      <c r="J6" t="s">
        <v>2</v>
      </c>
      <c r="K6" t="s">
        <v>3</v>
      </c>
      <c r="L6" t="s">
        <v>7</v>
      </c>
      <c r="M6" t="s">
        <v>32</v>
      </c>
      <c r="N6" t="s">
        <v>33</v>
      </c>
      <c r="O6" t="s">
        <v>57</v>
      </c>
      <c r="P6" t="s">
        <v>46</v>
      </c>
      <c r="Q6" t="s">
        <v>47</v>
      </c>
      <c r="R6" t="s">
        <v>39</v>
      </c>
      <c r="S6" t="s">
        <v>42</v>
      </c>
      <c r="T6" t="s">
        <v>54</v>
      </c>
      <c r="U6" t="s">
        <v>53</v>
      </c>
      <c r="V6" t="s">
        <v>58</v>
      </c>
      <c r="W6" t="s">
        <v>64</v>
      </c>
      <c r="X6" t="s">
        <v>59</v>
      </c>
    </row>
    <row r="7" spans="3:27" x14ac:dyDescent="0.25">
      <c r="C7" s="1" t="s">
        <v>6</v>
      </c>
      <c r="D7" s="1">
        <v>7.92</v>
      </c>
      <c r="E7" s="1" t="s">
        <v>13</v>
      </c>
      <c r="F7" s="2" t="s">
        <v>43</v>
      </c>
      <c r="G7" s="6">
        <v>1200</v>
      </c>
      <c r="H7" s="6"/>
      <c r="I7" s="1" t="s">
        <v>22</v>
      </c>
      <c r="J7" s="1">
        <v>855</v>
      </c>
      <c r="K7" s="4">
        <v>1.43999998E-2</v>
      </c>
      <c r="L7" s="9">
        <f>(0.5 *Table1[[#This Row],[Mass]]*Table1[[#This Row],[Velocity]]^2)/1000</f>
        <v>5.2633799268974997</v>
      </c>
      <c r="M7" s="9">
        <f>SQRT(Table1[[#This Row],[KE (kJ)]])</f>
        <v>2.2942057289827997</v>
      </c>
      <c r="N7" s="3">
        <f>LOG10(Table1[[#This Row],[KE (kJ)]])</f>
        <v>0.72126471985574592</v>
      </c>
      <c r="O7" s="3">
        <f>LN(Table1[[#This Row],[KE (kJ)]])</f>
        <v>1.6607733920423668</v>
      </c>
      <c r="P7" s="3">
        <f>POWER(Table1[[#This Row],[KE (kJ)]],1/3)</f>
        <v>1.7394885455535949</v>
      </c>
      <c r="Q7" s="11">
        <f>POWER(Table1[[#This Row],[KE (kJ)]],1/6)</f>
        <v>1.3188967152713644</v>
      </c>
      <c r="R7" s="12">
        <f>$J$2 + (1-(Table1[[#This Row],[KE 4]]-$S$2)/($S$3-$S$2))*($J$3-$J$2)</f>
        <v>80</v>
      </c>
      <c r="S7" s="11">
        <f>Table1[[#This Row],[KE 4]]/$S$3</f>
        <v>0.35764884716440865</v>
      </c>
      <c r="T7" s="3">
        <f>Table1[[#This Row],[KE Log]]/$V$3</f>
        <v>0.21210400937735097</v>
      </c>
      <c r="U7" s="10">
        <f>$J$2 + (1-(Table1[[#This Row],[KE Log]]-$V$2)/($Q$3-$V$2))*($J$3-$J$2)</f>
        <v>80</v>
      </c>
      <c r="V7" s="3">
        <f>(MIN(Table1[[#This Row],[KE Ln]]+$V$4,$AA$3))/($AA$3)</f>
        <v>0.21210400937735094</v>
      </c>
      <c r="W7" s="3">
        <f>(Table1[[#This Row],[Amp Ln]]/$Z$12)*2</f>
        <v>8.9178750573177354E-2</v>
      </c>
      <c r="X7" s="10">
        <f>$J$2 + (1-(Table1[[#This Row],[KE Ln]]-$AA$2)/($Q$3-$AA$2))*($J$3-$J$2)</f>
        <v>80</v>
      </c>
    </row>
    <row r="8" spans="3:27" x14ac:dyDescent="0.25">
      <c r="C8" s="1" t="s">
        <v>11</v>
      </c>
      <c r="D8" s="1">
        <v>7.62</v>
      </c>
      <c r="E8" s="1" t="s">
        <v>14</v>
      </c>
      <c r="F8" s="1" t="s">
        <v>10</v>
      </c>
      <c r="G8" s="6">
        <v>1800</v>
      </c>
      <c r="H8" s="6">
        <v>1791</v>
      </c>
      <c r="I8" s="1" t="s">
        <v>22</v>
      </c>
      <c r="J8" s="1">
        <v>820</v>
      </c>
      <c r="K8" s="4">
        <v>2.5861110499999999E-2</v>
      </c>
      <c r="L8" s="9">
        <f>(0.5 *Table1[[#This Row],[Mass]]*Table1[[#This Row],[Velocity]]^2)/1000</f>
        <v>8.6945053501</v>
      </c>
      <c r="M8" s="9">
        <f>SQRT(Table1[[#This Row],[KE (kJ)]])</f>
        <v>2.9486446632478454</v>
      </c>
      <c r="N8" s="3">
        <f>LOG10(Table1[[#This Row],[KE (kJ)]])</f>
        <v>0.93924487905490961</v>
      </c>
      <c r="O8" s="3">
        <f>LN(Table1[[#This Row],[KE (kJ)]])</f>
        <v>2.1626912571828303</v>
      </c>
      <c r="P8" s="3">
        <f>POWER(Table1[[#This Row],[KE (kJ)]],1/3)</f>
        <v>2.0562770402684509</v>
      </c>
      <c r="Q8" s="11">
        <f>POWER(Table1[[#This Row],[KE (kJ)]],1/6)</f>
        <v>1.433972468448558</v>
      </c>
      <c r="R8" s="12">
        <f>$J$2 + (1-(Table1[[#This Row],[KE 4]]-$S$2)/($S$3-$S$2))*($J$3-$J$2)</f>
        <v>77.0852010030965</v>
      </c>
      <c r="S8" s="11">
        <f>Table1[[#This Row],[KE 4]]/$S$3</f>
        <v>0.38885425543015845</v>
      </c>
      <c r="T8" s="3">
        <f>Table1[[#This Row],[KE Log]]/$V$3</f>
        <v>0.27620594651369512</v>
      </c>
      <c r="U8" s="10">
        <f>$J$2 + (1-(Table1[[#This Row],[KE Log]]-$V$2)/($Q$3-$V$2))*($J$3-$J$2)</f>
        <v>78.160177719870802</v>
      </c>
      <c r="V8" s="3">
        <f>(MIN(Table1[[#This Row],[KE Ln]]+$V$4,$AA$3))/($AA$3)</f>
        <v>0.27620594651369512</v>
      </c>
      <c r="W8" s="3">
        <f>(Table1[[#This Row],[Amp Ln]]/$Z$12)*2</f>
        <v>0.11613029514756275</v>
      </c>
      <c r="X8" s="10">
        <f>$J$2 + (1-(Table1[[#This Row],[KE Ln]]-$AA$2)/($Q$3-$AA$2))*($J$3-$J$2)</f>
        <v>75.118501260825369</v>
      </c>
    </row>
    <row r="9" spans="3:27" x14ac:dyDescent="0.25">
      <c r="C9" s="1" t="s">
        <v>11</v>
      </c>
      <c r="D9" s="1">
        <v>7.62</v>
      </c>
      <c r="E9" s="1" t="s">
        <v>14</v>
      </c>
      <c r="F9" s="1" t="s">
        <v>9</v>
      </c>
      <c r="G9" s="6">
        <v>1600</v>
      </c>
      <c r="H9" s="6">
        <v>1578</v>
      </c>
      <c r="I9" s="1" t="s">
        <v>22</v>
      </c>
      <c r="J9" s="1">
        <v>840</v>
      </c>
      <c r="K9" s="4">
        <v>2.5860000399999999E-2</v>
      </c>
      <c r="L9" s="9">
        <f>(0.5 *Table1[[#This Row],[Mass]]*Table1[[#This Row],[Velocity]]^2)/1000</f>
        <v>9.1234081411200005</v>
      </c>
      <c r="M9" s="9">
        <f>SQRT(Table1[[#This Row],[KE (kJ)]])</f>
        <v>3.0204979955497406</v>
      </c>
      <c r="N9" s="3">
        <f>LOG10(Table1[[#This Row],[KE (kJ)]])</f>
        <v>0.96015710372178276</v>
      </c>
      <c r="O9" s="3">
        <f>LN(Table1[[#This Row],[KE (kJ)]])</f>
        <v>2.2108434339621148</v>
      </c>
      <c r="P9" s="3">
        <f>POWER(Table1[[#This Row],[KE (kJ)]],1/3)</f>
        <v>2.089548076635956</v>
      </c>
      <c r="Q9" s="11">
        <f>POWER(Table1[[#This Row],[KE (kJ)]],1/6)</f>
        <v>1.4455269200661591</v>
      </c>
      <c r="R9" s="12">
        <f>$J$2 + (1-(Table1[[#This Row],[KE 4]]-$S$2)/($S$3-$S$2))*($J$3-$J$2)</f>
        <v>76.792533755175953</v>
      </c>
      <c r="S9" s="11">
        <f>Table1[[#This Row],[KE 4]]/$S$3</f>
        <v>0.39198750783180819</v>
      </c>
      <c r="T9" s="3">
        <f>Table1[[#This Row],[KE Log]]/$V$3</f>
        <v>0.28235565351410247</v>
      </c>
      <c r="U9" s="10">
        <f>$J$2 + (1-(Table1[[#This Row],[KE Log]]-$V$2)/($Q$3-$V$2))*($J$3-$J$2)</f>
        <v>77.983671853417036</v>
      </c>
      <c r="V9" s="3">
        <f>(MIN(Table1[[#This Row],[KE Ln]]+$V$4,$AA$3))/($AA$3)</f>
        <v>0.28235565351410247</v>
      </c>
      <c r="W9" s="3">
        <f>(Table1[[#This Row],[Amp Ln]]/$Z$12)*2</f>
        <v>0.11871592843331435</v>
      </c>
      <c r="X9" s="10">
        <f>$J$2 + (1-(Table1[[#This Row],[KE Ln]]-$AA$2)/($Q$3-$AA$2))*($J$3-$J$2)</f>
        <v>74.650188003693529</v>
      </c>
    </row>
    <row r="10" spans="3:27" x14ac:dyDescent="0.25">
      <c r="C10" s="1" t="s">
        <v>11</v>
      </c>
      <c r="D10" s="1">
        <v>7.62</v>
      </c>
      <c r="E10" s="1" t="s">
        <v>14</v>
      </c>
      <c r="F10" s="1" t="s">
        <v>27</v>
      </c>
      <c r="G10" s="6">
        <v>1800</v>
      </c>
      <c r="H10" s="6">
        <v>1807.2</v>
      </c>
      <c r="I10" s="1" t="s">
        <v>22</v>
      </c>
      <c r="J10" s="1">
        <v>840</v>
      </c>
      <c r="K10" s="4">
        <v>2.5864001399999999E-2</v>
      </c>
      <c r="L10" s="9">
        <f>(0.5 *Table1[[#This Row],[Mass]]*Table1[[#This Row],[Velocity]]^2)/1000</f>
        <v>9.124819693920001</v>
      </c>
      <c r="M10" s="9">
        <f>SQRT(Table1[[#This Row],[KE (kJ)]])</f>
        <v>3.0207316487765015</v>
      </c>
      <c r="N10" s="3">
        <f>LOG10(Table1[[#This Row],[KE (kJ)]])</f>
        <v>0.96022429157133393</v>
      </c>
      <c r="O10" s="3">
        <f>LN(Table1[[#This Row],[KE (kJ)]])</f>
        <v>2.2109981397029213</v>
      </c>
      <c r="P10" s="3">
        <f>POWER(Table1[[#This Row],[KE (kJ)]],1/3)</f>
        <v>2.0896558344421066</v>
      </c>
      <c r="Q10" s="11">
        <f>POWER(Table1[[#This Row],[KE (kJ)]],1/6)</f>
        <v>1.445564192432182</v>
      </c>
      <c r="R10" s="12">
        <f>$J$2 + (1-(Table1[[#This Row],[KE 4]]-$S$2)/($S$3-$S$2))*($J$3-$J$2)</f>
        <v>76.79158966876247</v>
      </c>
      <c r="S10" s="11">
        <f>Table1[[#This Row],[KE 4]]/$S$3</f>
        <v>0.3919976150817428</v>
      </c>
      <c r="T10" s="3">
        <f>Table1[[#This Row],[KE Log]]/$V$3</f>
        <v>0.28237541160274721</v>
      </c>
      <c r="U10" s="10">
        <f>$J$2 + (1-(Table1[[#This Row],[KE Log]]-$V$2)/($Q$3-$V$2))*($J$3-$J$2)</f>
        <v>77.983104766471996</v>
      </c>
      <c r="V10" s="3">
        <f>(MIN(Table1[[#This Row],[KE Ln]]+$V$4,$AA$3))/($AA$3)</f>
        <v>0.28237541160274715</v>
      </c>
      <c r="W10" s="3">
        <f>(Table1[[#This Row],[Amp Ln]]/$Z$12)*2</f>
        <v>0.11872423568627115</v>
      </c>
      <c r="X10" s="10">
        <f>$J$2 + (1-(Table1[[#This Row],[KE Ln]]-$AA$2)/($Q$3-$AA$2))*($J$3-$J$2)</f>
        <v>74.648683383254323</v>
      </c>
      <c r="Y10" t="s">
        <v>48</v>
      </c>
      <c r="Z10">
        <v>1</v>
      </c>
      <c r="AA10">
        <f>Z13/Z10</f>
        <v>1.6817928305074294</v>
      </c>
    </row>
    <row r="11" spans="3:27" x14ac:dyDescent="0.25">
      <c r="C11" s="1" t="s">
        <v>65</v>
      </c>
      <c r="D11" s="1">
        <v>12.7</v>
      </c>
      <c r="E11" s="1" t="s">
        <v>13</v>
      </c>
      <c r="F11" s="1" t="s">
        <v>66</v>
      </c>
      <c r="G11" s="6">
        <v>900</v>
      </c>
      <c r="H11" s="6"/>
      <c r="I11" s="1"/>
      <c r="J11" s="1">
        <v>750</v>
      </c>
      <c r="K11" s="4">
        <v>8.5000000000000006E-2</v>
      </c>
      <c r="L11" s="9">
        <f>(0.5 *Table1[[#This Row],[Mass]]*Table1[[#This Row],[Velocity]]^2)/1000</f>
        <v>23.90625</v>
      </c>
      <c r="M11" s="9">
        <f>SQRT(Table1[[#This Row],[KE (kJ)]])</f>
        <v>4.8894018039019862</v>
      </c>
      <c r="N11" s="3">
        <f>LOG10(Table1[[#This Row],[KE (kJ)]])</f>
        <v>1.3785114568337116</v>
      </c>
      <c r="O11" s="3">
        <f>LN(Table1[[#This Row],[KE (kJ)]])</f>
        <v>3.1741399310268092</v>
      </c>
      <c r="P11" s="3">
        <f>POWER(Table1[[#This Row],[KE (kJ)]],1/3)</f>
        <v>2.8807383812777183</v>
      </c>
      <c r="Q11" s="11">
        <f>POWER(Table1[[#This Row],[KE (kJ)]],1/6)</f>
        <v>1.6972738085758934</v>
      </c>
      <c r="R11" s="12">
        <f>$J$2 + (1-(Table1[[#This Row],[KE 4]]-$S$2)/($S$3-$S$2))*($J$3-$J$2)</f>
        <v>70.415937836035113</v>
      </c>
      <c r="S11" s="11">
        <f>Table1[[#This Row],[KE 4]]/$S$3</f>
        <v>0.46025440349558894</v>
      </c>
      <c r="T11" s="3">
        <f>Table1[[#This Row],[KE Log]]/$V$3</f>
        <v>0.40538210024402876</v>
      </c>
      <c r="U11" s="10">
        <f>$J$2 + (1-(Table1[[#This Row],[KE Log]]-$V$2)/($Q$3-$V$2))*($J$3-$J$2)</f>
        <v>74.45262727269855</v>
      </c>
      <c r="V11" s="3">
        <f>(MIN(Table1[[#This Row],[KE Ln]]+$V$4,$AA$3))/($AA$3)</f>
        <v>0.40538210024402876</v>
      </c>
      <c r="W11" s="3">
        <f>(Table1[[#This Row],[Amp Ln]]/$Z$12)*2</f>
        <v>0.17044217745161291</v>
      </c>
      <c r="X11" s="10">
        <f>$J$2 + (1-(Table1[[#This Row],[KE Ln]]-$AA$2)/($Q$3-$AA$2))*($J$3-$J$2)</f>
        <v>65.281462635536542</v>
      </c>
      <c r="Y11" t="s">
        <v>49</v>
      </c>
      <c r="Z11">
        <v>8</v>
      </c>
    </row>
    <row r="12" spans="3:27" x14ac:dyDescent="0.25">
      <c r="C12" s="1" t="s">
        <v>8</v>
      </c>
      <c r="D12" s="1">
        <v>20</v>
      </c>
      <c r="E12" s="1" t="s">
        <v>13</v>
      </c>
      <c r="F12" s="1" t="s">
        <v>44</v>
      </c>
      <c r="G12" s="6">
        <v>700</v>
      </c>
      <c r="H12" s="6"/>
      <c r="I12" s="1" t="s">
        <v>23</v>
      </c>
      <c r="J12" s="1">
        <v>805</v>
      </c>
      <c r="K12" s="4">
        <v>0.11834549900000001</v>
      </c>
      <c r="L12" s="9">
        <f>(0.5 *Table1[[#This Row],[Mass]]*Table1[[#This Row],[Velocity]]^2)/1000</f>
        <v>38.345420994737509</v>
      </c>
      <c r="M12" s="9">
        <f>SQRT(Table1[[#This Row],[KE (kJ)]])</f>
        <v>6.1923679634480306</v>
      </c>
      <c r="N12" s="3">
        <f>LOG10(Table1[[#This Row],[KE (kJ)]])</f>
        <v>1.5837135102550242</v>
      </c>
      <c r="O12" s="3">
        <f>LN(Table1[[#This Row],[KE (kJ)]])</f>
        <v>3.6466351202864913</v>
      </c>
      <c r="P12" s="3">
        <f>POWER(Table1[[#This Row],[KE (kJ)]],1/3)</f>
        <v>3.3721315104156879</v>
      </c>
      <c r="Q12" s="11">
        <f>POWER(Table1[[#This Row],[KE (kJ)]],1/6)</f>
        <v>1.8363364371529767</v>
      </c>
      <c r="R12" s="12">
        <f>$J$2 + (1-(Table1[[#This Row],[KE 4]]-$S$2)/($S$3-$S$2))*($J$3-$J$2)</f>
        <v>66.893565841136194</v>
      </c>
      <c r="S12" s="11">
        <f>Table1[[#This Row],[KE 4]]/$S$3</f>
        <v>0.49796439868957426</v>
      </c>
      <c r="T12" s="3">
        <f>Table1[[#This Row],[KE Log]]/$V$3</f>
        <v>0.46572634981696043</v>
      </c>
      <c r="U12" s="10">
        <f>$J$2 + (1-(Table1[[#This Row],[KE Log]]-$V$2)/($Q$3-$V$2))*($J$3-$J$2)</f>
        <v>72.720656293322179</v>
      </c>
      <c r="V12" s="3">
        <f>(MIN(Table1[[#This Row],[KE Ln]]+$V$4,$AA$3))/($AA$3)</f>
        <v>0.46572634981696043</v>
      </c>
      <c r="W12" s="3">
        <f>(Table1[[#This Row],[Amp Ln]]/$Z$12)*2</f>
        <v>0.19581380902513978</v>
      </c>
      <c r="X12" s="10">
        <f>$J$2 + (1-(Table1[[#This Row],[KE Ln]]-$AA$2)/($Q$3-$AA$2))*($J$3-$J$2)</f>
        <v>60.686119789966099</v>
      </c>
      <c r="Y12" t="s">
        <v>50</v>
      </c>
      <c r="Z12">
        <f>POWER(Z11,6/8)</f>
        <v>4.7568284600108832</v>
      </c>
    </row>
    <row r="13" spans="3:27" x14ac:dyDescent="0.25">
      <c r="C13" s="1" t="s">
        <v>18</v>
      </c>
      <c r="D13" s="1">
        <v>20</v>
      </c>
      <c r="E13" s="1" t="s">
        <v>14</v>
      </c>
      <c r="F13" s="1" t="s">
        <v>10</v>
      </c>
      <c r="G13" s="6">
        <v>800</v>
      </c>
      <c r="H13" s="6">
        <v>800</v>
      </c>
      <c r="I13" s="1" t="s">
        <v>23</v>
      </c>
      <c r="J13" s="1">
        <v>815</v>
      </c>
      <c r="K13" s="4">
        <v>0.12174444</v>
      </c>
      <c r="L13" s="9">
        <f>(0.5 *Table1[[#This Row],[Mass]]*Table1[[#This Row],[Velocity]]^2)/1000</f>
        <v>40.432850329499999</v>
      </c>
      <c r="M13" s="9">
        <f>SQRT(Table1[[#This Row],[KE (kJ)]])</f>
        <v>6.3586830656591147</v>
      </c>
      <c r="N13" s="3">
        <f>LOG10(Table1[[#This Row],[KE (kJ)]])</f>
        <v>1.6067343581711695</v>
      </c>
      <c r="O13" s="3">
        <f>LN(Table1[[#This Row],[KE (kJ)]])</f>
        <v>3.6996425815262906</v>
      </c>
      <c r="P13" s="3">
        <f>POWER(Table1[[#This Row],[KE (kJ)]],1/3)</f>
        <v>3.4322437225801576</v>
      </c>
      <c r="Q13" s="11">
        <f>POWER(Table1[[#This Row],[KE (kJ)]],1/6)</f>
        <v>1.852631566874579</v>
      </c>
      <c r="R13" s="12">
        <f>$J$2 + (1-(Table1[[#This Row],[KE 4]]-$S$2)/($S$3-$S$2))*($J$3-$J$2)</f>
        <v>66.480820093612806</v>
      </c>
      <c r="S13" s="11">
        <f>Table1[[#This Row],[KE 4]]/$S$3</f>
        <v>0.50238319380206831</v>
      </c>
      <c r="T13" s="3">
        <f>Table1[[#This Row],[KE Log]]/$V$3</f>
        <v>0.47249614460639255</v>
      </c>
      <c r="U13" s="10">
        <f>$J$2 + (1-(Table1[[#This Row],[KE Log]]-$V$2)/($Q$3-$V$2))*($J$3-$J$2)</f>
        <v>72.526352972051114</v>
      </c>
      <c r="V13" s="3">
        <f>(MIN(Table1[[#This Row],[KE Ln]]+$V$4,$AA$3))/($AA$3)</f>
        <v>0.47249614460639255</v>
      </c>
      <c r="W13" s="3">
        <f>(Table1[[#This Row],[Amp Ln]]/$Z$12)*2</f>
        <v>0.19866015711035817</v>
      </c>
      <c r="X13" s="10">
        <f>$J$2 + (1-(Table1[[#This Row],[KE Ln]]-$AA$2)/($Q$3-$AA$2))*($J$3-$J$2)</f>
        <v>60.170585529920359</v>
      </c>
      <c r="Z13">
        <f>(Z10/Z12)*Z11</f>
        <v>1.6817928305074294</v>
      </c>
    </row>
    <row r="14" spans="3:27" x14ac:dyDescent="0.25">
      <c r="C14" s="1" t="s">
        <v>15</v>
      </c>
      <c r="D14" s="1">
        <v>12.7</v>
      </c>
      <c r="E14" s="1" t="s">
        <v>14</v>
      </c>
      <c r="F14" s="1" t="s">
        <v>16</v>
      </c>
      <c r="G14" s="6">
        <v>900</v>
      </c>
      <c r="H14" s="6"/>
      <c r="I14" s="1"/>
      <c r="J14" s="1">
        <v>860</v>
      </c>
      <c r="K14" s="4">
        <v>0.16717499499999999</v>
      </c>
      <c r="L14" s="9">
        <f>(0.5 *Table1[[#This Row],[Mass]]*Table1[[#This Row],[Velocity]]^2)/1000</f>
        <v>61.821313150999998</v>
      </c>
      <c r="M14" s="9">
        <f>SQRT(Table1[[#This Row],[KE (kJ)]])</f>
        <v>7.8626530605769451</v>
      </c>
      <c r="N14" s="3">
        <f>LOG10(Table1[[#This Row],[KE (kJ)]])</f>
        <v>1.7911382257058746</v>
      </c>
      <c r="O14" s="3">
        <f>LN(Table1[[#This Row],[KE (kJ)]])</f>
        <v>4.1242481780021514</v>
      </c>
      <c r="P14" s="3">
        <f>POWER(Table1[[#This Row],[KE (kJ)]],1/3)</f>
        <v>3.9540856758797678</v>
      </c>
      <c r="Q14" s="11">
        <f>POWER(Table1[[#This Row],[KE (kJ)]],1/6)</f>
        <v>1.9884882890979689</v>
      </c>
      <c r="R14" s="12">
        <f>$J$2 + (1-(Table1[[#This Row],[KE 4]]-$S$2)/($S$3-$S$2))*($J$3-$J$2)</f>
        <v>63.03965176122238</v>
      </c>
      <c r="S14" s="11">
        <f>Table1[[#This Row],[KE 4]]/$S$3</f>
        <v>0.53922383455894018</v>
      </c>
      <c r="T14" s="3">
        <f>Table1[[#This Row],[KE Log]]/$V$3</f>
        <v>0.52672422283074194</v>
      </c>
      <c r="U14" s="10">
        <f>$J$2 + (1-(Table1[[#This Row],[KE Log]]-$V$2)/($Q$3-$V$2))*($J$3-$J$2)</f>
        <v>70.969925335339667</v>
      </c>
      <c r="V14" s="3">
        <f>(MIN(Table1[[#This Row],[KE Ln]]+$V$4,$AA$3))/($AA$3)</f>
        <v>0.52672422283074205</v>
      </c>
      <c r="W14" s="3">
        <f>(Table1[[#This Row],[Amp Ln]]/$Z$12)*2</f>
        <v>0.22146025540283493</v>
      </c>
      <c r="X14" s="10">
        <f>$J$2 + (1-(Table1[[#This Row],[KE Ln]]-$AA$2)/($Q$3-$AA$2))*($J$3-$J$2)</f>
        <v>56.041002130326973</v>
      </c>
    </row>
    <row r="15" spans="3:27" x14ac:dyDescent="0.25">
      <c r="C15" s="1" t="s">
        <v>15</v>
      </c>
      <c r="D15" s="1">
        <v>12.7</v>
      </c>
      <c r="E15" s="1" t="s">
        <v>14</v>
      </c>
      <c r="F15" s="1" t="s">
        <v>16</v>
      </c>
      <c r="G15" s="6">
        <v>900</v>
      </c>
      <c r="H15" s="6">
        <v>904</v>
      </c>
      <c r="I15" s="1" t="s">
        <v>23</v>
      </c>
      <c r="J15" s="1">
        <v>860</v>
      </c>
      <c r="K15" s="4">
        <v>0.16718250500000001</v>
      </c>
      <c r="L15" s="9">
        <f>(0.5 *Table1[[#This Row],[Mass]]*Table1[[#This Row],[Velocity]]^2)/1000</f>
        <v>61.824090349000002</v>
      </c>
      <c r="M15" s="9">
        <f>SQRT(Table1[[#This Row],[KE (kJ)]])</f>
        <v>7.8628296655211853</v>
      </c>
      <c r="N15" s="3">
        <f>LOG10(Table1[[#This Row],[KE (kJ)]])</f>
        <v>1.7911577350727028</v>
      </c>
      <c r="O15" s="3">
        <f>LN(Table1[[#This Row],[KE (kJ)]])</f>
        <v>4.1242930999793836</v>
      </c>
      <c r="P15" s="3">
        <f>POWER(Table1[[#This Row],[KE (kJ)]],1/3)</f>
        <v>3.9541448847719654</v>
      </c>
      <c r="Q15" s="11">
        <f>POWER(Table1[[#This Row],[KE (kJ)]],1/6)</f>
        <v>1.9885031769579764</v>
      </c>
      <c r="R15" s="12">
        <f>$J$2 + (1-(Table1[[#This Row],[KE 4]]-$S$2)/($S$3-$S$2))*($J$3-$J$2)</f>
        <v>63.039274660762743</v>
      </c>
      <c r="S15" s="11">
        <f>Table1[[#This Row],[KE 4]]/$S$3</f>
        <v>0.53922787174085651</v>
      </c>
      <c r="T15" s="3">
        <f>Table1[[#This Row],[KE Log]]/$V$3</f>
        <v>0.52672995999604455</v>
      </c>
      <c r="U15" s="10">
        <f>$J$2 + (1-(Table1[[#This Row],[KE Log]]-$V$2)/($Q$3-$V$2))*($J$3-$J$2)</f>
        <v>70.969760670042177</v>
      </c>
      <c r="V15" s="3">
        <f>(MIN(Table1[[#This Row],[KE Ln]]+$V$4,$AA$3))/($AA$3)</f>
        <v>0.52672995999604455</v>
      </c>
      <c r="W15" s="3">
        <f>(Table1[[#This Row],[Amp Ln]]/$Z$12)*2</f>
        <v>0.2214626675837032</v>
      </c>
      <c r="X15" s="10">
        <f>$J$2 + (1-(Table1[[#This Row],[KE Ln]]-$AA$2)/($Q$3-$AA$2))*($J$3-$J$2)</f>
        <v>56.040565232996848</v>
      </c>
    </row>
    <row r="16" spans="3:27" x14ac:dyDescent="0.25">
      <c r="C16" s="1" t="s">
        <v>18</v>
      </c>
      <c r="D16" s="1">
        <v>12.7</v>
      </c>
      <c r="E16" s="1" t="s">
        <v>14</v>
      </c>
      <c r="F16" s="1" t="s">
        <v>17</v>
      </c>
      <c r="G16" s="6">
        <v>800</v>
      </c>
      <c r="H16" s="6">
        <v>800</v>
      </c>
      <c r="I16" s="1" t="s">
        <v>23</v>
      </c>
      <c r="J16" s="1">
        <v>815</v>
      </c>
      <c r="K16" s="4">
        <v>0.20000000300000001</v>
      </c>
      <c r="L16" s="9">
        <f>(0.5 *Table1[[#This Row],[Mass]]*Table1[[#This Row],[Velocity]]^2)/1000</f>
        <v>66.422500996337504</v>
      </c>
      <c r="M16" s="9">
        <f>SQRT(Table1[[#This Row],[KE (kJ)]])</f>
        <v>8.1500000611250005</v>
      </c>
      <c r="N16" s="3">
        <f>LOG10(Table1[[#This Row],[KE (kJ)]])</f>
        <v>1.8223152239943705</v>
      </c>
      <c r="O16" s="3">
        <f>LN(Table1[[#This Row],[KE (kJ)]])</f>
        <v>4.1960358695055424</v>
      </c>
      <c r="P16" s="3">
        <f>POWER(Table1[[#This Row],[KE (kJ)]],1/3)</f>
        <v>4.0498450582666639</v>
      </c>
      <c r="Q16" s="11">
        <f>POWER(Table1[[#This Row],[KE (kJ)]],1/6)</f>
        <v>2.0124226837984769</v>
      </c>
      <c r="R16" s="12">
        <f>$J$2 + (1-(Table1[[#This Row],[KE 4]]-$S$2)/($S$3-$S$2))*($J$3-$J$2)</f>
        <v>62.433408067495606</v>
      </c>
      <c r="S16" s="11">
        <f>Table1[[#This Row],[KE 4]]/$S$3</f>
        <v>0.54571419015168532</v>
      </c>
      <c r="T16" s="3">
        <f>Table1[[#This Row],[KE Log]]/$V$3</f>
        <v>0.53589251590719156</v>
      </c>
      <c r="U16" s="10">
        <f>$J$2 + (1-(Table1[[#This Row],[KE Log]]-$V$2)/($Q$3-$V$2))*($J$3-$J$2)</f>
        <v>70.70678149560004</v>
      </c>
      <c r="V16" s="3">
        <f>(MIN(Table1[[#This Row],[KE Ln]]+$V$4,$AA$3))/($AA$3)</f>
        <v>0.53589251590719156</v>
      </c>
      <c r="W16" s="3">
        <f>(Table1[[#This Row],[Amp Ln]]/$Z$12)*2</f>
        <v>0.22531504779382583</v>
      </c>
      <c r="X16" s="10">
        <f>$J$2 + (1-(Table1[[#This Row],[KE Ln]]-$AA$2)/($Q$3-$AA$2))*($J$3-$J$2)</f>
        <v>55.342817128555829</v>
      </c>
    </row>
    <row r="17" spans="3:25" x14ac:dyDescent="0.25">
      <c r="C17" s="1" t="s">
        <v>8</v>
      </c>
      <c r="D17" s="1"/>
      <c r="E17" s="1"/>
      <c r="F17" s="1" t="s">
        <v>66</v>
      </c>
      <c r="G17" s="6">
        <v>700</v>
      </c>
      <c r="H17" s="6"/>
      <c r="I17" s="1"/>
      <c r="J17" s="1">
        <v>805</v>
      </c>
      <c r="K17" s="4">
        <v>0.21010000000000001</v>
      </c>
      <c r="L17" s="9">
        <f>(0.5 *Table1[[#This Row],[Mass]]*Table1[[#This Row],[Velocity]]^2)/1000</f>
        <v>68.075026250000008</v>
      </c>
      <c r="M17" s="9">
        <f>SQRT(Table1[[#This Row],[KE (kJ)]])</f>
        <v>8.250759131740546</v>
      </c>
      <c r="N17" s="3">
        <f>LOG10(Table1[[#This Row],[KE (kJ)]])</f>
        <v>1.8329878174777086</v>
      </c>
      <c r="O17" s="3">
        <f>LN(Table1[[#This Row],[KE (kJ)]])</f>
        <v>4.220610424163862</v>
      </c>
      <c r="P17" s="3">
        <f>POWER(Table1[[#This Row],[KE (kJ)]],1/3)</f>
        <v>4.0831556838812739</v>
      </c>
      <c r="Q17" s="11">
        <f>POWER(Table1[[#This Row],[KE (kJ)]],1/6)</f>
        <v>2.0206819848460258</v>
      </c>
      <c r="R17" s="12">
        <f>$J$2 + (1-(Table1[[#This Row],[KE 4]]-$S$2)/($S$3-$S$2))*($J$3-$J$2)</f>
        <v>62.224204983928118</v>
      </c>
      <c r="S17" s="11">
        <f>Table1[[#This Row],[KE 4]]/$S$3</f>
        <v>0.54795388751679086</v>
      </c>
      <c r="T17" s="3">
        <f>Table1[[#This Row],[KE Log]]/$V$3</f>
        <v>0.53903103052734846</v>
      </c>
      <c r="U17" s="10">
        <f>$J$2 + (1-(Table1[[#This Row],[KE Log]]-$V$2)/($Q$3-$V$2))*($J$3-$J$2)</f>
        <v>70.616701392211056</v>
      </c>
      <c r="V17" s="3">
        <f>(MIN(Table1[[#This Row],[KE Ln]]+$V$4,$AA$3))/($AA$3)</f>
        <v>0.53903103052734835</v>
      </c>
      <c r="W17" s="3">
        <f>(Table1[[#This Row],[Amp Ln]]/$Z$12)*2</f>
        <v>0.22663463064048145</v>
      </c>
      <c r="X17" s="10">
        <f>$J$2 + (1-(Table1[[#This Row],[KE Ln]]-$AA$2)/($Q$3-$AA$2))*($J$3-$J$2)</f>
        <v>55.103812570416039</v>
      </c>
    </row>
    <row r="18" spans="3:25" x14ac:dyDescent="0.25">
      <c r="C18" s="1" t="s">
        <v>26</v>
      </c>
      <c r="D18" s="1">
        <v>12.7</v>
      </c>
      <c r="E18" s="1" t="s">
        <v>14</v>
      </c>
      <c r="F18" s="1" t="s">
        <v>28</v>
      </c>
      <c r="G18" s="6">
        <v>1000</v>
      </c>
      <c r="H18" s="6">
        <v>1000</v>
      </c>
      <c r="I18" s="1" t="s">
        <v>23</v>
      </c>
      <c r="J18" s="1">
        <v>860</v>
      </c>
      <c r="K18" s="4">
        <v>0.18750333799999999</v>
      </c>
      <c r="L18" s="9">
        <f>(0.5 *Table1[[#This Row],[Mass]]*Table1[[#This Row],[Velocity]]^2)/1000</f>
        <v>69.338734392399999</v>
      </c>
      <c r="M18" s="9">
        <f>SQRT(Table1[[#This Row],[KE (kJ)]])</f>
        <v>8.3269883146549457</v>
      </c>
      <c r="N18" s="3">
        <f>LOG10(Table1[[#This Row],[KE (kJ)]])</f>
        <v>1.8409759104179677</v>
      </c>
      <c r="O18" s="3">
        <f>LN(Table1[[#This Row],[KE (kJ)]])</f>
        <v>4.2390036878895536</v>
      </c>
      <c r="P18" s="3">
        <f>POWER(Table1[[#This Row],[KE (kJ)]],1/3)</f>
        <v>4.1082667708032705</v>
      </c>
      <c r="Q18" s="11">
        <f>POWER(Table1[[#This Row],[KE (kJ)]],1/6)</f>
        <v>2.0268859787376474</v>
      </c>
      <c r="R18" s="12">
        <f>$J$2 + (1-(Table1[[#This Row],[KE 4]]-$S$2)/($S$3-$S$2))*($J$3-$J$2)</f>
        <v>62.067061583404389</v>
      </c>
      <c r="S18" s="11">
        <f>Table1[[#This Row],[KE 4]]/$S$3</f>
        <v>0.54963624159157298</v>
      </c>
      <c r="T18" s="3">
        <f>Table1[[#This Row],[KE Log]]/$V$3</f>
        <v>0.54138010777078649</v>
      </c>
      <c r="U18" s="10">
        <f>$J$2 + (1-(Table1[[#This Row],[KE Log]]-$V$2)/($Q$3-$V$2))*($J$3-$J$2)</f>
        <v>70.549279332234477</v>
      </c>
      <c r="V18" s="3">
        <f>(MIN(Table1[[#This Row],[KE Ln]]+$V$4,$AA$3))/($AA$3)</f>
        <v>0.54138010777078649</v>
      </c>
      <c r="W18" s="3">
        <f>(Table1[[#This Row],[Amp Ln]]/$Z$12)*2</f>
        <v>0.22762229595706204</v>
      </c>
      <c r="X18" s="10">
        <f>$J$2 + (1-(Table1[[#This Row],[KE Ln]]-$AA$2)/($Q$3-$AA$2))*($J$3-$J$2)</f>
        <v>54.924925346186349</v>
      </c>
      <c r="Y18">
        <f>1.5*1.41</f>
        <v>2.1149999999999998</v>
      </c>
    </row>
    <row r="19" spans="3:25" ht="30" x14ac:dyDescent="0.25">
      <c r="C19" s="1" t="s">
        <v>18</v>
      </c>
      <c r="D19" s="1">
        <v>20</v>
      </c>
      <c r="E19" s="1" t="s">
        <v>14</v>
      </c>
      <c r="F19" s="2" t="s">
        <v>25</v>
      </c>
      <c r="G19" s="7" t="s">
        <v>30</v>
      </c>
      <c r="H19" s="6"/>
      <c r="I19" s="1" t="s">
        <v>24</v>
      </c>
      <c r="J19" s="1">
        <v>815</v>
      </c>
      <c r="K19" s="4">
        <v>0.214400008</v>
      </c>
      <c r="L19" s="9">
        <f>(0.5 *Table1[[#This Row],[Mass]]*Table1[[#This Row],[Velocity]]^2)/1000</f>
        <v>71.204922656899996</v>
      </c>
      <c r="M19" s="9">
        <f>SQRT(Table1[[#This Row],[KE (kJ)]])</f>
        <v>8.4383009342461825</v>
      </c>
      <c r="N19" s="3">
        <f>LOG10(Table1[[#This Row],[KE (kJ)]])</f>
        <v>1.8525100190417221</v>
      </c>
      <c r="O19" s="3">
        <f>LN(Table1[[#This Row],[KE (kJ)]])</f>
        <v>4.2655619544675849</v>
      </c>
      <c r="P19" s="3">
        <f>POWER(Table1[[#This Row],[KE (kJ)]],1/3)</f>
        <v>4.1447977133314096</v>
      </c>
      <c r="Q19" s="11">
        <f>POWER(Table1[[#This Row],[KE (kJ)]],1/6)</f>
        <v>2.0358776272977237</v>
      </c>
      <c r="R19" s="12">
        <f>$J$2 + (1-(Table1[[#This Row],[KE 4]]-$S$2)/($S$3-$S$2))*($J$3-$J$2)</f>
        <v>61.839308581752825</v>
      </c>
      <c r="S19" s="11">
        <f>Table1[[#This Row],[KE 4]]/$S$3</f>
        <v>0.55207453164445031</v>
      </c>
      <c r="T19" s="3">
        <f>Table1[[#This Row],[KE Log]]/$V$3</f>
        <v>0.54477197017074075</v>
      </c>
      <c r="U19" s="10">
        <f>$J$2 + (1-(Table1[[#This Row],[KE Log]]-$V$2)/($Q$3-$V$2))*($J$3-$J$2)</f>
        <v>70.451927765443358</v>
      </c>
      <c r="V19" s="3">
        <f>(MIN(Table1[[#This Row],[KE Ln]]+$V$4,$AA$3))/($AA$3)</f>
        <v>0.54477197017074064</v>
      </c>
      <c r="W19" s="3">
        <f>(Table1[[#This Row],[Amp Ln]]/$Z$12)*2</f>
        <v>0.22904839842363969</v>
      </c>
      <c r="X19" s="10">
        <f>$J$2 + (1-(Table1[[#This Row],[KE Ln]]-$AA$2)/($Q$3-$AA$2))*($J$3-$J$2)</f>
        <v>54.666627816212909</v>
      </c>
    </row>
    <row r="20" spans="3:25" ht="30" x14ac:dyDescent="0.25">
      <c r="C20" s="1" t="s">
        <v>18</v>
      </c>
      <c r="D20" s="1">
        <v>20</v>
      </c>
      <c r="E20" s="1" t="s">
        <v>14</v>
      </c>
      <c r="F20" s="2" t="s">
        <v>25</v>
      </c>
      <c r="G20" s="7" t="s">
        <v>30</v>
      </c>
      <c r="H20" s="7" t="s">
        <v>31</v>
      </c>
      <c r="I20" s="1" t="s">
        <v>23</v>
      </c>
      <c r="J20" s="1">
        <v>815</v>
      </c>
      <c r="K20" s="4">
        <v>0.217752948</v>
      </c>
      <c r="L20" s="9">
        <f>(0.5 *Table1[[#This Row],[Mass]]*Table1[[#This Row],[Velocity]]^2)/1000</f>
        <v>72.318475942649997</v>
      </c>
      <c r="M20" s="9">
        <f>SQRT(Table1[[#This Row],[KE (kJ)]])</f>
        <v>8.5040270426810149</v>
      </c>
      <c r="N20" s="3">
        <f>LOG10(Table1[[#This Row],[KE (kJ)]])</f>
        <v>1.8592492651350119</v>
      </c>
      <c r="O20" s="3">
        <f>LN(Table1[[#This Row],[KE (kJ)]])</f>
        <v>4.2810796420600123</v>
      </c>
      <c r="P20" s="3">
        <f>POWER(Table1[[#This Row],[KE (kJ)]],1/3)</f>
        <v>4.1662924822743133</v>
      </c>
      <c r="Q20" s="11">
        <f>POWER(Table1[[#This Row],[KE (kJ)]],1/6)</f>
        <v>2.0411497941783483</v>
      </c>
      <c r="R20" s="12">
        <f>$J$2 + (1-(Table1[[#This Row],[KE 4]]-$S$2)/($S$3-$S$2))*($J$3-$J$2)</f>
        <v>61.705767793959851</v>
      </c>
      <c r="S20" s="11">
        <f>Table1[[#This Row],[KE 4]]/$S$3</f>
        <v>0.55350419962760677</v>
      </c>
      <c r="T20" s="3">
        <f>Table1[[#This Row],[KE Log]]/$V$3</f>
        <v>0.54675379609015251</v>
      </c>
      <c r="U20" s="10">
        <f>$J$2 + (1-(Table1[[#This Row],[KE Log]]-$V$2)/($Q$3-$V$2))*($J$3-$J$2)</f>
        <v>70.395046372387867</v>
      </c>
      <c r="V20" s="3">
        <f>(MIN(Table1[[#This Row],[KE Ln]]+$V$4,$AA$3))/($AA$3)</f>
        <v>0.54675379609015251</v>
      </c>
      <c r="W20" s="3">
        <f>(Table1[[#This Row],[Amp Ln]]/$Z$12)*2</f>
        <v>0.22988165357928489</v>
      </c>
      <c r="X20" s="10">
        <f>$J$2 + (1-(Table1[[#This Row],[KE Ln]]-$AA$2)/($Q$3-$AA$2))*($J$3-$J$2)</f>
        <v>54.515707560772029</v>
      </c>
    </row>
    <row r="21" spans="3:25" ht="30" x14ac:dyDescent="0.25">
      <c r="C21" s="1" t="s">
        <v>18</v>
      </c>
      <c r="D21" s="1">
        <v>20</v>
      </c>
      <c r="E21" s="1" t="s">
        <v>14</v>
      </c>
      <c r="F21" s="2" t="s">
        <v>25</v>
      </c>
      <c r="G21" s="7" t="s">
        <v>30</v>
      </c>
      <c r="H21" s="6"/>
      <c r="I21" s="1" t="s">
        <v>22</v>
      </c>
      <c r="J21" s="1">
        <v>815</v>
      </c>
      <c r="K21" s="4">
        <v>0.21940000400000001</v>
      </c>
      <c r="L21" s="9">
        <f>(0.5 *Table1[[#This Row],[Mass]]*Table1[[#This Row],[Velocity]]^2)/1000</f>
        <v>72.865483828449996</v>
      </c>
      <c r="M21" s="9">
        <f>SQRT(Table1[[#This Row],[KE (kJ)]])</f>
        <v>8.5361281520634407</v>
      </c>
      <c r="N21" s="3">
        <f>LOG10(Table1[[#This Row],[KE (kJ)]])</f>
        <v>1.8625218529725218</v>
      </c>
      <c r="O21" s="3">
        <f>LN(Table1[[#This Row],[KE (kJ)]])</f>
        <v>4.288615054030176</v>
      </c>
      <c r="P21" s="3">
        <f>POWER(Table1[[#This Row],[KE (kJ)]],1/3)</f>
        <v>4.176770546267516</v>
      </c>
      <c r="Q21" s="11">
        <f>POWER(Table1[[#This Row],[KE (kJ)]],1/6)</f>
        <v>2.0437148886935077</v>
      </c>
      <c r="R21" s="12">
        <f>$J$2 + (1-(Table1[[#This Row],[KE 4]]-$S$2)/($S$3-$S$2))*($J$3-$J$2)</f>
        <v>61.64079550645949</v>
      </c>
      <c r="S21" s="11">
        <f>Table1[[#This Row],[KE 4]]/$S$3</f>
        <v>0.55419978335724385</v>
      </c>
      <c r="T21" s="3">
        <f>Table1[[#This Row],[KE Log]]/$V$3</f>
        <v>0.54771617367811254</v>
      </c>
      <c r="U21" s="10">
        <f>$J$2 + (1-(Table1[[#This Row],[KE Log]]-$V$2)/($Q$3-$V$2))*($J$3-$J$2)</f>
        <v>70.367424684068837</v>
      </c>
      <c r="V21" s="3">
        <f>(MIN(Table1[[#This Row],[KE Ln]]+$V$4,$AA$3))/($AA$3)</f>
        <v>0.54771617367811243</v>
      </c>
      <c r="W21" s="3">
        <f>(Table1[[#This Row],[Amp Ln]]/$Z$12)*2</f>
        <v>0.23028628351120289</v>
      </c>
      <c r="X21" s="10">
        <f>$J$2 + (1-(Table1[[#This Row],[KE Ln]]-$AA$2)/($Q$3-$AA$2))*($J$3-$J$2)</f>
        <v>54.442420462251995</v>
      </c>
    </row>
    <row r="22" spans="3:25" x14ac:dyDescent="0.25">
      <c r="C22" s="1" t="s">
        <v>18</v>
      </c>
      <c r="D22" s="1">
        <v>20</v>
      </c>
      <c r="E22" s="1" t="s">
        <v>14</v>
      </c>
      <c r="F22" s="1" t="s">
        <v>27</v>
      </c>
      <c r="G22" s="6">
        <v>800</v>
      </c>
      <c r="H22" s="6">
        <v>802.1</v>
      </c>
      <c r="I22" s="1" t="s">
        <v>23</v>
      </c>
      <c r="J22" s="1">
        <v>815</v>
      </c>
      <c r="K22" s="4">
        <v>0.23100000600000001</v>
      </c>
      <c r="L22" s="9">
        <f>(0.5 *Table1[[#This Row],[Mass]]*Table1[[#This Row],[Velocity]]^2)/1000</f>
        <v>76.717989492675002</v>
      </c>
      <c r="M22" s="9">
        <f>SQRT(Table1[[#This Row],[KE (kJ)]])</f>
        <v>8.7588806072851</v>
      </c>
      <c r="N22" s="3">
        <f>LOG10(Table1[[#This Row],[KE (kJ)]])</f>
        <v>1.8848972129884924</v>
      </c>
      <c r="O22" s="3">
        <f>LN(Table1[[#This Row],[KE (kJ)]])</f>
        <v>4.3401362244533255</v>
      </c>
      <c r="P22" s="3">
        <f>POWER(Table1[[#This Row],[KE (kJ)]],1/3)</f>
        <v>4.2491207314631971</v>
      </c>
      <c r="Q22" s="11">
        <f>POWER(Table1[[#This Row],[KE (kJ)]],1/6)</f>
        <v>2.0613395478336889</v>
      </c>
      <c r="R22" s="12">
        <f>$J$2 + (1-(Table1[[#This Row],[KE 4]]-$S$2)/($S$3-$S$2))*($J$3-$J$2)</f>
        <v>61.194373585557848</v>
      </c>
      <c r="S22" s="11">
        <f>Table1[[#This Row],[KE 4]]/$S$3</f>
        <v>0.55897911061628136</v>
      </c>
      <c r="T22" s="3">
        <f>Table1[[#This Row],[KE Log]]/$V$3</f>
        <v>0.55429614832542118</v>
      </c>
      <c r="U22" s="10">
        <f>$J$2 + (1-(Table1[[#This Row],[KE Log]]-$V$2)/($Q$3-$V$2))*($J$3-$J$2)</f>
        <v>70.178569487180567</v>
      </c>
      <c r="V22" s="3">
        <f>(MIN(Table1[[#This Row],[KE Ln]]+$V$4,$AA$3))/($AA$3)</f>
        <v>0.55429614832542118</v>
      </c>
      <c r="W22" s="3">
        <f>(Table1[[#This Row],[Amp Ln]]/$Z$12)*2</f>
        <v>0.23305282205789402</v>
      </c>
      <c r="X22" s="10">
        <f>$J$2 + (1-(Table1[[#This Row],[KE Ln]]-$AA$2)/($Q$3-$AA$2))*($J$3-$J$2)</f>
        <v>53.941341409425249</v>
      </c>
    </row>
    <row r="23" spans="3:25" x14ac:dyDescent="0.25">
      <c r="C23" s="1" t="s">
        <v>19</v>
      </c>
      <c r="D23" s="1">
        <v>23</v>
      </c>
      <c r="E23" s="1" t="s">
        <v>14</v>
      </c>
      <c r="F23" s="1" t="s">
        <v>17</v>
      </c>
      <c r="G23" s="6">
        <v>600</v>
      </c>
      <c r="H23" s="6">
        <v>600</v>
      </c>
      <c r="I23" s="1" t="s">
        <v>24</v>
      </c>
      <c r="J23" s="1">
        <v>900</v>
      </c>
      <c r="K23" s="4">
        <v>0.502499998</v>
      </c>
      <c r="L23" s="9">
        <f>(0.5 *Table1[[#This Row],[Mass]]*Table1[[#This Row],[Velocity]]^2)/1000</f>
        <v>203.51249919</v>
      </c>
      <c r="M23" s="9">
        <f>SQRT(Table1[[#This Row],[KE (kJ)]])</f>
        <v>14.265780707343009</v>
      </c>
      <c r="N23" s="3">
        <f>LOG10(Table1[[#This Row],[KE (kJ)]])</f>
        <v>2.3085910875786597</v>
      </c>
      <c r="O23" s="3">
        <f>LN(Table1[[#This Row],[KE (kJ)]])</f>
        <v>5.315727424077533</v>
      </c>
      <c r="P23" s="3">
        <f>POWER(Table1[[#This Row],[KE (kJ)]],1/3)</f>
        <v>5.8820723562644508</v>
      </c>
      <c r="Q23" s="11">
        <f>POWER(Table1[[#This Row],[KE (kJ)]],1/6)</f>
        <v>2.4252984056120703</v>
      </c>
      <c r="R23" s="12">
        <f>$J$2 + (1-(Table1[[#This Row],[KE 4]]-$S$2)/($S$3-$S$2))*($J$3-$J$2)</f>
        <v>51.975516578095579</v>
      </c>
      <c r="S23" s="11">
        <f>Table1[[#This Row],[KE 4]]/$S$3</f>
        <v>0.65767483439244578</v>
      </c>
      <c r="T23" s="3">
        <f>Table1[[#This Row],[KE Log]]/$V$3</f>
        <v>0.67889280067127922</v>
      </c>
      <c r="U23" s="10">
        <f>$J$2 + (1-(Table1[[#This Row],[KE Log]]-$V$2)/($Q$3-$V$2))*($J$3-$J$2)</f>
        <v>66.602457636959272</v>
      </c>
      <c r="V23" s="3">
        <f>(MIN(Table1[[#This Row],[KE Ln]]+$V$4,$AA$3))/($AA$3)</f>
        <v>0.67889280067127911</v>
      </c>
      <c r="W23" s="3">
        <f>(Table1[[#This Row],[Amp Ln]]/$Z$12)*2</f>
        <v>0.28543926121301666</v>
      </c>
      <c r="X23" s="10">
        <f>$J$2 + (1-(Table1[[#This Row],[KE Ln]]-$AA$2)/($Q$3-$AA$2))*($J$3-$J$2)</f>
        <v>44.453041546692361</v>
      </c>
    </row>
    <row r="24" spans="3:25" x14ac:dyDescent="0.25">
      <c r="C24" s="1" t="s">
        <v>19</v>
      </c>
      <c r="D24" s="1">
        <v>23</v>
      </c>
      <c r="E24" s="1" t="s">
        <v>14</v>
      </c>
      <c r="F24" s="1" t="s">
        <v>17</v>
      </c>
      <c r="G24" s="6">
        <v>600</v>
      </c>
      <c r="H24" s="6">
        <v>600</v>
      </c>
      <c r="I24" s="1" t="s">
        <v>23</v>
      </c>
      <c r="J24" s="1">
        <v>900</v>
      </c>
      <c r="K24" s="4">
        <v>0.504000008</v>
      </c>
      <c r="L24" s="9">
        <f>(0.5 *Table1[[#This Row],[Mass]]*Table1[[#This Row],[Velocity]]^2)/1000</f>
        <v>204.12000323999999</v>
      </c>
      <c r="M24" s="9">
        <f>SQRT(Table1[[#This Row],[KE (kJ)]])</f>
        <v>14.28705719313813</v>
      </c>
      <c r="N24" s="3">
        <f>LOG10(Table1[[#This Row],[KE (kJ)]])</f>
        <v>2.3098855665537568</v>
      </c>
      <c r="O24" s="3">
        <f>LN(Table1[[#This Row],[KE (kJ)]])</f>
        <v>5.3187080720687865</v>
      </c>
      <c r="P24" s="3">
        <f>POWER(Table1[[#This Row],[KE (kJ)]],1/3)</f>
        <v>5.887919389492474</v>
      </c>
      <c r="Q24" s="11">
        <f>POWER(Table1[[#This Row],[KE (kJ)]],1/6)</f>
        <v>2.4265035317288275</v>
      </c>
      <c r="R24" s="12">
        <f>$J$2 + (1-(Table1[[#This Row],[KE 4]]-$S$2)/($S$3-$S$2))*($J$3-$J$2)</f>
        <v>51.944991464861189</v>
      </c>
      <c r="S24" s="11">
        <f>Table1[[#This Row],[KE 4]]/$S$3</f>
        <v>0.65800163175372151</v>
      </c>
      <c r="T24" s="3">
        <f>Table1[[#This Row],[KE Log]]/$V$3</f>
        <v>0.67927347114234793</v>
      </c>
      <c r="U24" s="10">
        <f>$J$2 + (1-(Table1[[#This Row],[KE Log]]-$V$2)/($Q$3-$V$2))*($J$3-$J$2)</f>
        <v>66.591531820278107</v>
      </c>
      <c r="V24" s="3">
        <f>(MIN(Table1[[#This Row],[KE Ln]]+$V$4,$AA$3))/($AA$3)</f>
        <v>0.67927347114234804</v>
      </c>
      <c r="W24" s="3">
        <f>(Table1[[#This Row],[Amp Ln]]/$Z$12)*2</f>
        <v>0.28559931343027406</v>
      </c>
      <c r="X24" s="10">
        <f>$J$2 + (1-(Table1[[#This Row],[KE Ln]]-$AA$2)/($Q$3-$AA$2))*($J$3-$J$2)</f>
        <v>44.424052681338559</v>
      </c>
    </row>
    <row r="25" spans="3:25" x14ac:dyDescent="0.25">
      <c r="C25" s="1" t="s">
        <v>19</v>
      </c>
      <c r="D25" s="1">
        <v>23</v>
      </c>
      <c r="E25" s="1" t="s">
        <v>14</v>
      </c>
      <c r="F25" s="1" t="s">
        <v>17</v>
      </c>
      <c r="G25" s="6">
        <v>600</v>
      </c>
      <c r="H25" s="6">
        <v>600</v>
      </c>
      <c r="I25" s="1" t="s">
        <v>22</v>
      </c>
      <c r="J25" s="1">
        <v>900</v>
      </c>
      <c r="K25" s="4">
        <v>0.505499959</v>
      </c>
      <c r="L25" s="9">
        <f>(0.5 *Table1[[#This Row],[Mass]]*Table1[[#This Row],[Velocity]]^2)/1000</f>
        <v>204.72748339499998</v>
      </c>
      <c r="M25" s="9">
        <f>SQRT(Table1[[#This Row],[KE (kJ)]])</f>
        <v>14.308301205768629</v>
      </c>
      <c r="N25" s="3">
        <f>LOG10(Table1[[#This Row],[KE (kJ)]])</f>
        <v>2.3111761479170108</v>
      </c>
      <c r="O25" s="3">
        <f>LN(Table1[[#This Row],[KE (kJ)]])</f>
        <v>5.3216797454771108</v>
      </c>
      <c r="P25" s="3">
        <f>POWER(Table1[[#This Row],[KE (kJ)]],1/3)</f>
        <v>5.8937546035671318</v>
      </c>
      <c r="Q25" s="11">
        <f>POWER(Table1[[#This Row],[KE (kJ)]],1/6)</f>
        <v>2.4277056253934766</v>
      </c>
      <c r="R25" s="12">
        <f>$J$2 + (1-(Table1[[#This Row],[KE 4]]-$S$2)/($S$3-$S$2))*($J$3-$J$2)</f>
        <v>51.914543161798527</v>
      </c>
      <c r="S25" s="11">
        <f>Table1[[#This Row],[KE 4]]/$S$3</f>
        <v>0.65832760679662461</v>
      </c>
      <c r="T25" s="3">
        <f>Table1[[#This Row],[KE Log]]/$V$3</f>
        <v>0.67965299543355218</v>
      </c>
      <c r="U25" s="10">
        <f>$J$2 + (1-(Table1[[#This Row],[KE Log]]-$V$2)/($Q$3-$V$2))*($J$3-$J$2)</f>
        <v>66.580638900687816</v>
      </c>
      <c r="V25" s="3">
        <f>(MIN(Table1[[#This Row],[KE Ln]]+$V$4,$AA$3))/($AA$3)</f>
        <v>0.67965299543355218</v>
      </c>
      <c r="W25" s="3">
        <f>(Table1[[#This Row],[Amp Ln]]/$Z$12)*2</f>
        <v>0.28575888373826169</v>
      </c>
      <c r="X25" s="10">
        <f>$J$2 + (1-(Table1[[#This Row],[KE Ln]]-$AA$2)/($Q$3-$AA$2))*($J$3-$J$2)</f>
        <v>44.395151100017245</v>
      </c>
    </row>
    <row r="26" spans="3:25" x14ac:dyDescent="0.25">
      <c r="C26" s="1" t="s">
        <v>20</v>
      </c>
      <c r="D26" s="1">
        <v>37</v>
      </c>
      <c r="E26" s="1" t="s">
        <v>14</v>
      </c>
      <c r="F26" s="1" t="s">
        <v>17</v>
      </c>
      <c r="G26" s="6">
        <v>185</v>
      </c>
      <c r="H26" s="6">
        <v>184.9</v>
      </c>
      <c r="I26" s="1" t="s">
        <v>23</v>
      </c>
      <c r="J26" s="1">
        <v>850</v>
      </c>
      <c r="K26" s="4">
        <v>1.77999997</v>
      </c>
      <c r="L26" s="9">
        <f>(0.5 *Table1[[#This Row],[Mass]]*Table1[[#This Row],[Velocity]]^2)/1000</f>
        <v>643.02498916249999</v>
      </c>
      <c r="M26" s="9">
        <f>SQRT(Table1[[#This Row],[KE (kJ)]])</f>
        <v>25.35793739960922</v>
      </c>
      <c r="N26" s="3">
        <f>LOG10(Table1[[#This Row],[KE (kJ)]])</f>
        <v>2.8082278507539282</v>
      </c>
      <c r="O26" s="3">
        <f>LN(Table1[[#This Row],[KE (kJ)]])</f>
        <v>6.4661835868767028</v>
      </c>
      <c r="P26" s="3">
        <f>POWER(Table1[[#This Row],[KE (kJ)]],1/3)</f>
        <v>8.6312948030658116</v>
      </c>
      <c r="Q26" s="11">
        <f>POWER(Table1[[#This Row],[KE (kJ)]],1/6)</f>
        <v>2.9379065340929094</v>
      </c>
      <c r="R26" s="12">
        <f>$J$2 + (1-(Table1[[#This Row],[KE 4]]-$S$2)/($S$3-$S$2))*($J$3-$J$2)</f>
        <v>38.991463748131991</v>
      </c>
      <c r="S26" s="11">
        <f>Table1[[#This Row],[KE 4]]/$S$3</f>
        <v>0.79668018945586783</v>
      </c>
      <c r="T26" s="3">
        <f>Table1[[#This Row],[KE Log]]/$V$3</f>
        <v>0.82582215654354696</v>
      </c>
      <c r="U26" s="10">
        <f>$J$2 + (1-(Table1[[#This Row],[KE Log]]-$V$2)/($Q$3-$V$2))*($J$3-$J$2)</f>
        <v>62.385363511334752</v>
      </c>
      <c r="V26" s="3">
        <f>(MIN(Table1[[#This Row],[KE Ln]]+$V$4,$AA$3))/($AA$3)</f>
        <v>0.82582215654354696</v>
      </c>
      <c r="W26" s="3">
        <f>(Table1[[#This Row],[Amp Ln]]/$Z$12)*2</f>
        <v>0.34721544553728034</v>
      </c>
      <c r="X26" s="10">
        <f>$J$2 + (1-(Table1[[#This Row],[KE Ln]]-$AA$2)/($Q$3-$AA$2))*($J$3-$J$2)</f>
        <v>33.264058850074875</v>
      </c>
    </row>
    <row r="27" spans="3:25" x14ac:dyDescent="0.25">
      <c r="C27" s="1"/>
      <c r="D27" s="1"/>
      <c r="E27" s="1"/>
      <c r="F27" s="1"/>
      <c r="G27" s="6"/>
      <c r="H27" s="6"/>
      <c r="I27" s="1"/>
      <c r="J27" s="1">
        <v>850</v>
      </c>
      <c r="K27" s="4">
        <v>1.7949999999999999</v>
      </c>
      <c r="L27" s="9">
        <f>(0.5 *Table1[[#This Row],[Mass]]*Table1[[#This Row],[Velocity]]^2)/1000</f>
        <v>648.44375000000002</v>
      </c>
      <c r="M27" s="9">
        <f>SQRT(Table1[[#This Row],[KE (kJ)]])</f>
        <v>25.464558704206912</v>
      </c>
      <c r="N27" s="3">
        <f>LOG10(Table1[[#This Row],[KE (kJ)]])</f>
        <v>2.8118723086789421</v>
      </c>
      <c r="O27" s="3">
        <f>LN(Table1[[#This Row],[KE (kJ)]])</f>
        <v>6.4745752613668843</v>
      </c>
      <c r="P27" s="3">
        <f>POWER(Table1[[#This Row],[KE (kJ)]],1/3)</f>
        <v>8.6554722743513732</v>
      </c>
      <c r="Q27" s="11">
        <f>POWER(Table1[[#This Row],[KE (kJ)]],1/6)</f>
        <v>2.942018401429769</v>
      </c>
      <c r="R27" s="12">
        <f>$J$2 + (1-(Table1[[#This Row],[KE 4]]-$S$2)/($S$3-$S$2))*($J$3-$J$2)</f>
        <v>38.88731264368149</v>
      </c>
      <c r="S27" s="11">
        <f>Table1[[#This Row],[KE 4]]/$S$3</f>
        <v>0.79779521582274926</v>
      </c>
      <c r="T27" s="3">
        <f>Table1[[#This Row],[KE Log]]/$V$3</f>
        <v>0.82689389084112519</v>
      </c>
      <c r="U27" s="10">
        <f>$J$2 + (1-(Table1[[#This Row],[KE Log]]-$V$2)/($Q$3-$V$2))*($J$3-$J$2)</f>
        <v>62.354603120508045</v>
      </c>
      <c r="V27" s="3">
        <f>(MIN(Table1[[#This Row],[KE Ln]]+$V$4,$AA$3))/($AA$3)</f>
        <v>0.82689389084112519</v>
      </c>
      <c r="W27" s="3">
        <f>(Table1[[#This Row],[Amp Ln]]/$Z$12)*2</f>
        <v>0.34766605430174935</v>
      </c>
      <c r="X27" s="10">
        <f>$J$2 + (1-(Table1[[#This Row],[KE Ln]]-$AA$2)/($Q$3-$AA$2))*($J$3-$J$2)</f>
        <v>33.182444005717969</v>
      </c>
    </row>
    <row r="28" spans="3:25" x14ac:dyDescent="0.25">
      <c r="C28" s="1" t="s">
        <v>20</v>
      </c>
      <c r="D28" s="1">
        <v>37</v>
      </c>
      <c r="E28" s="1" t="s">
        <v>14</v>
      </c>
      <c r="F28" s="1" t="s">
        <v>17</v>
      </c>
      <c r="G28" s="6">
        <v>185</v>
      </c>
      <c r="H28" s="6"/>
      <c r="I28" s="1" t="s">
        <v>22</v>
      </c>
      <c r="J28" s="1">
        <v>850</v>
      </c>
      <c r="K28" s="4">
        <v>1.7999999499999999</v>
      </c>
      <c r="L28" s="9">
        <f>(0.5 *Table1[[#This Row],[Mass]]*Table1[[#This Row],[Velocity]]^2)/1000</f>
        <v>650.24998193749991</v>
      </c>
      <c r="M28" s="9">
        <f>SQRT(Table1[[#This Row],[KE (kJ)]])</f>
        <v>25.499999645833331</v>
      </c>
      <c r="N28" s="3">
        <f>LOG10(Table1[[#This Row],[KE (kJ)]])</f>
        <v>2.8130803488041747</v>
      </c>
      <c r="O28" s="3">
        <f>LN(Table1[[#This Row],[KE (kJ)]])</f>
        <v>6.4773568765509824</v>
      </c>
      <c r="P28" s="3">
        <f>POWER(Table1[[#This Row],[KE (kJ)]],1/3)</f>
        <v>8.6635013937975334</v>
      </c>
      <c r="Q28" s="11">
        <f>POWER(Table1[[#This Row],[KE (kJ)]],1/6)</f>
        <v>2.9433826448148963</v>
      </c>
      <c r="R28" s="12">
        <f>$J$2 + (1-(Table1[[#This Row],[KE 4]]-$S$2)/($S$3-$S$2))*($J$3-$J$2)</f>
        <v>38.852757186595944</v>
      </c>
      <c r="S28" s="11">
        <f>Table1[[#This Row],[KE 4]]/$S$3</f>
        <v>0.79816516145101024</v>
      </c>
      <c r="T28" s="3">
        <f>Table1[[#This Row],[KE Log]]/$V$3</f>
        <v>0.8272491420366942</v>
      </c>
      <c r="U28" s="10">
        <f>$J$2 + (1-(Table1[[#This Row],[KE Log]]-$V$2)/($Q$3-$V$2))*($J$3-$J$2)</f>
        <v>62.344406875373359</v>
      </c>
      <c r="V28" s="3">
        <f>(MIN(Table1[[#This Row],[KE Ln]]+$V$4,$AA$3))/($AA$3)</f>
        <v>0.82724914203669409</v>
      </c>
      <c r="W28" s="3">
        <f>(Table1[[#This Row],[Amp Ln]]/$Z$12)*2</f>
        <v>0.34781541903018359</v>
      </c>
      <c r="X28" s="10">
        <f>$J$2 + (1-(Table1[[#This Row],[KE Ln]]-$AA$2)/($Q$3-$AA$2))*($J$3-$J$2)</f>
        <v>33.15539087221326</v>
      </c>
    </row>
    <row r="29" spans="3:25" x14ac:dyDescent="0.25">
      <c r="C29" s="1" t="s">
        <v>20</v>
      </c>
      <c r="D29" s="1">
        <v>37</v>
      </c>
      <c r="E29" s="1" t="s">
        <v>14</v>
      </c>
      <c r="F29" s="1" t="s">
        <v>17</v>
      </c>
      <c r="G29" s="6">
        <v>185</v>
      </c>
      <c r="H29" s="6"/>
      <c r="I29" s="1" t="s">
        <v>24</v>
      </c>
      <c r="J29" s="1">
        <v>860</v>
      </c>
      <c r="K29" s="4">
        <v>1.7599999900000001</v>
      </c>
      <c r="L29" s="9">
        <f>(0.5 *Table1[[#This Row],[Mass]]*Table1[[#This Row],[Velocity]]^2)/1000</f>
        <v>650.84799630200007</v>
      </c>
      <c r="M29" s="9">
        <f>SQRT(Table1[[#This Row],[KE (kJ)]])</f>
        <v>25.511722723132596</v>
      </c>
      <c r="N29" s="3">
        <f>LOG10(Table1[[#This Row],[KE (kJ)]])</f>
        <v>2.8134795721697219</v>
      </c>
      <c r="O29" s="3">
        <f>LN(Table1[[#This Row],[KE (kJ)]])</f>
        <v>6.478276122321267</v>
      </c>
      <c r="P29" s="3">
        <f>POWER(Table1[[#This Row],[KE (kJ)]],1/3)</f>
        <v>8.666156429552526</v>
      </c>
      <c r="Q29" s="11">
        <f>POWER(Table1[[#This Row],[KE (kJ)]],1/6)</f>
        <v>2.9438336280354784</v>
      </c>
      <c r="R29" s="12">
        <f>$J$2 + (1-(Table1[[#This Row],[KE 4]]-$S$2)/($S$3-$S$2))*($J$3-$J$2)</f>
        <v>38.84133405528739</v>
      </c>
      <c r="S29" s="11">
        <f>Table1[[#This Row],[KE 4]]/$S$3</f>
        <v>0.79828745581042759</v>
      </c>
      <c r="T29" s="3">
        <f>Table1[[#This Row],[KE Log]]/$V$3</f>
        <v>0.82736654258899989</v>
      </c>
      <c r="U29" s="10">
        <f>$J$2 + (1-(Table1[[#This Row],[KE Log]]-$V$2)/($Q$3-$V$2))*($J$3-$J$2)</f>
        <v>62.3410373024481</v>
      </c>
      <c r="V29" s="3">
        <f>(MIN(Table1[[#This Row],[KE Ln]]+$V$4,$AA$3))/($AA$3)</f>
        <v>0.82736654258899989</v>
      </c>
      <c r="W29" s="3">
        <f>(Table1[[#This Row],[Amp Ln]]/$Z$12)*2</f>
        <v>0.34786477988197495</v>
      </c>
      <c r="X29" s="10">
        <f>$J$2 + (1-(Table1[[#This Row],[KE Ln]]-$AA$2)/($Q$3-$AA$2))*($J$3-$J$2)</f>
        <v>33.146450570661379</v>
      </c>
    </row>
    <row r="30" spans="3:25" x14ac:dyDescent="0.25">
      <c r="C30" s="1"/>
      <c r="D30" s="1"/>
      <c r="E30" s="1"/>
      <c r="F30" s="1"/>
      <c r="G30" s="6"/>
      <c r="H30" s="6"/>
      <c r="I30" s="1"/>
      <c r="J30" s="1">
        <v>1146</v>
      </c>
      <c r="K30" s="4">
        <v>1.29</v>
      </c>
      <c r="L30" s="9">
        <f>(0.5 *Table1[[#This Row],[Mass]]*Table1[[#This Row],[Velocity]]^2)/1000</f>
        <v>847.08882000000006</v>
      </c>
      <c r="M30" s="9">
        <f>SQRT(Table1[[#This Row],[KE (kJ)]])</f>
        <v>29.104790327367073</v>
      </c>
      <c r="N30" s="3">
        <f>LOG10(Table1[[#This Row],[KE (kJ)]])</f>
        <v>2.9279289498980101</v>
      </c>
      <c r="O30" s="3">
        <f>LN(Table1[[#This Row],[KE (kJ)]])</f>
        <v>6.7418055533808685</v>
      </c>
      <c r="P30" s="3">
        <f>POWER(Table1[[#This Row],[KE (kJ)]],1/3)</f>
        <v>9.46185561651372</v>
      </c>
      <c r="Q30" s="11">
        <f>POWER(Table1[[#This Row],[KE (kJ)]],1/6)</f>
        <v>3.0760129415387252</v>
      </c>
      <c r="R30" s="12">
        <f>$J$2 + (1-(Table1[[#This Row],[KE 4]]-$S$2)/($S$3-$S$2))*($J$3-$J$2)</f>
        <v>35.493312254227277</v>
      </c>
      <c r="S30" s="11">
        <f>Table1[[#This Row],[KE 4]]/$S$3</f>
        <v>0.83413088353758846</v>
      </c>
      <c r="T30" s="3">
        <f>Table1[[#This Row],[KE Log]]/$V$3</f>
        <v>0.86102293977388911</v>
      </c>
      <c r="U30" s="10">
        <f>$J$2 + (1-(Table1[[#This Row],[KE Log]]-$V$2)/($Q$3-$V$2))*($J$3-$J$2)</f>
        <v>61.375047939631656</v>
      </c>
      <c r="V30" s="3">
        <f>(MIN(Table1[[#This Row],[KE Ln]]+$V$4,$AA$3))/($AA$3)</f>
        <v>0.86102293977388922</v>
      </c>
      <c r="W30" s="3">
        <f>(Table1[[#This Row],[Amp Ln]]/$Z$12)*2</f>
        <v>0.36201555175353928</v>
      </c>
      <c r="X30" s="10">
        <f>$J$2 + (1-(Table1[[#This Row],[KE Ln]]-$AA$2)/($Q$3-$AA$2))*($J$3-$J$2)</f>
        <v>30.583444400134159</v>
      </c>
    </row>
    <row r="31" spans="3:25" x14ac:dyDescent="0.25">
      <c r="C31" s="1"/>
      <c r="D31" s="1"/>
      <c r="E31" s="1"/>
      <c r="F31" s="1"/>
      <c r="G31" s="6"/>
      <c r="H31" s="6"/>
      <c r="I31" s="1"/>
      <c r="J31" s="1">
        <v>920</v>
      </c>
      <c r="K31" s="4">
        <v>3.5</v>
      </c>
      <c r="L31" s="9">
        <f>(0.5 *Table1[[#This Row],[Mass]]*Table1[[#This Row],[Velocity]]^2)/1000</f>
        <v>1481.2</v>
      </c>
      <c r="M31" s="9">
        <f>SQRT(Table1[[#This Row],[KE (kJ)]])</f>
        <v>38.486361220567474</v>
      </c>
      <c r="N31" s="3">
        <f>LOG10(Table1[[#This Row],[KE (kJ)]])</f>
        <v>3.1706137033774051</v>
      </c>
      <c r="O31" s="3">
        <f>LN(Table1[[#This Row],[KE (kJ)]])</f>
        <v>7.3006078490394577</v>
      </c>
      <c r="P31" s="3">
        <f>POWER(Table1[[#This Row],[KE (kJ)]],1/3)</f>
        <v>11.39911760893631</v>
      </c>
      <c r="Q31" s="11">
        <f>POWER(Table1[[#This Row],[KE (kJ)]],1/6)</f>
        <v>3.3762579298590785</v>
      </c>
      <c r="R31" s="12">
        <f>$J$2 + (1-(Table1[[#This Row],[KE 4]]-$S$2)/($S$3-$S$2))*($J$3-$J$2)</f>
        <v>27.888288896840187</v>
      </c>
      <c r="S31" s="11">
        <f>Table1[[#This Row],[KE 4]]/$S$3</f>
        <v>0.91554914222024186</v>
      </c>
      <c r="T31" s="3">
        <f>Table1[[#This Row],[KE Log]]/$V$3</f>
        <v>0.9323898149456411</v>
      </c>
      <c r="U31" s="10">
        <f>$J$2 + (1-(Table1[[#This Row],[KE Log]]-$V$2)/($Q$3-$V$2))*($J$3-$J$2)</f>
        <v>59.326710980252265</v>
      </c>
      <c r="V31" s="3">
        <f>(MIN(Table1[[#This Row],[KE Ln]]+$V$4,$AA$3))/($AA$3)</f>
        <v>0.9323898149456411</v>
      </c>
      <c r="W31" s="3">
        <f>(Table1[[#This Row],[Amp Ln]]/$Z$12)*2</f>
        <v>0.39202162650343203</v>
      </c>
      <c r="X31" s="10">
        <f>$J$2 + (1-(Table1[[#This Row],[KE Ln]]-$AA$2)/($Q$3-$AA$2))*($J$3-$J$2)</f>
        <v>25.148705190478978</v>
      </c>
    </row>
    <row r="32" spans="3:25" x14ac:dyDescent="0.25">
      <c r="C32" s="1"/>
      <c r="D32" s="1"/>
      <c r="E32" s="1"/>
      <c r="F32" s="1"/>
      <c r="G32" s="6"/>
      <c r="H32" s="6"/>
      <c r="I32" s="1"/>
      <c r="J32" s="1">
        <v>890</v>
      </c>
      <c r="K32" s="4">
        <v>6.35</v>
      </c>
      <c r="L32" s="9">
        <f>(0.5 *Table1[[#This Row],[Mass]]*Table1[[#This Row],[Velocity]]^2)/1000</f>
        <v>2514.9175</v>
      </c>
      <c r="M32" s="9">
        <f>SQRT(Table1[[#This Row],[KE (kJ)]])</f>
        <v>50.148953129651673</v>
      </c>
      <c r="N32" s="3">
        <f>LOG10(Table1[[#This Row],[KE (kJ)]])</f>
        <v>3.4005237429178199</v>
      </c>
      <c r="O32" s="3">
        <f>LN(Table1[[#This Row],[KE (kJ)]])</f>
        <v>7.8299952788148888</v>
      </c>
      <c r="P32" s="3">
        <f>POWER(Table1[[#This Row],[KE (kJ)]],1/3)</f>
        <v>13.59902945063563</v>
      </c>
      <c r="Q32" s="11">
        <f>POWER(Table1[[#This Row],[KE (kJ)]],1/6)</f>
        <v>3.687686191995684</v>
      </c>
      <c r="R32" s="12">
        <f>$J$2 + (1-(Table1[[#This Row],[KE 4]]-$S$2)/($S$3-$S$2))*($J$3-$J$2)</f>
        <v>20</v>
      </c>
      <c r="S32" s="11">
        <f>Table1[[#This Row],[KE 4]]/$S$3</f>
        <v>1</v>
      </c>
      <c r="T32" s="3">
        <f>Table1[[#This Row],[KE Log]]/$V$3</f>
        <v>1</v>
      </c>
      <c r="U32" s="10">
        <f>$J$2 + (1-(Table1[[#This Row],[KE Log]]-$V$2)/($Q$3-$V$2))*($J$3-$J$2)</f>
        <v>57.386196693420501</v>
      </c>
      <c r="V32" s="3">
        <f>(MIN(Table1[[#This Row],[KE Ln]]+$V$4,$AA$3))/($AA$3)</f>
        <v>1</v>
      </c>
      <c r="W32" s="3">
        <f>(Table1[[#This Row],[Amp Ln]]/$Z$12)*2</f>
        <v>0.42044820762685736</v>
      </c>
      <c r="X32" s="10">
        <f>$J$2 + (1-(Table1[[#This Row],[KE Ln]]-$AA$2)/($Q$3-$AA$2))*($J$3-$J$2)</f>
        <v>20.000045916793894</v>
      </c>
    </row>
    <row r="34" spans="6:20" x14ac:dyDescent="0.25">
      <c r="N34">
        <f>N30/N7</f>
        <v>4.0594373595364548</v>
      </c>
      <c r="O34">
        <f>O30/O7</f>
        <v>4.0594373595364557</v>
      </c>
      <c r="Q34">
        <f>Q30/Q7</f>
        <v>2.332262189997063</v>
      </c>
    </row>
    <row r="35" spans="6:20" x14ac:dyDescent="0.25">
      <c r="F35">
        <v>1.2999999999999999E-2</v>
      </c>
      <c r="G35" s="5">
        <f>F36/F35</f>
        <v>1.6923076923076923</v>
      </c>
    </row>
    <row r="36" spans="6:20" x14ac:dyDescent="0.25">
      <c r="F36">
        <v>2.1999999999999999E-2</v>
      </c>
      <c r="G36" s="5">
        <f>2.488/1.515</f>
        <v>1.6422442244224424</v>
      </c>
    </row>
    <row r="37" spans="6:20" x14ac:dyDescent="0.25">
      <c r="Q37" t="s">
        <v>51</v>
      </c>
      <c r="R37">
        <v>2514.9175</v>
      </c>
      <c r="S37">
        <f>POWER(R37,1/4)</f>
        <v>7.0815925560322706</v>
      </c>
      <c r="T37">
        <f>LOG10(R37)</f>
        <v>3.4005237429178199</v>
      </c>
    </row>
    <row r="38" spans="6:20" x14ac:dyDescent="0.25">
      <c r="Q38" t="s">
        <v>52</v>
      </c>
      <c r="R38">
        <v>3.4601704999999998</v>
      </c>
      <c r="S38">
        <f>POWER(R38,1/4)</f>
        <v>1.3638743908048012</v>
      </c>
      <c r="T38">
        <f>LOG10(R38)</f>
        <v>0.53909749919300642</v>
      </c>
    </row>
    <row r="39" spans="6:20" x14ac:dyDescent="0.25">
      <c r="L39">
        <f>MIN(Table1[KE 4])</f>
        <v>1.3188967152713644</v>
      </c>
    </row>
    <row r="40" spans="6:20" x14ac:dyDescent="0.25">
      <c r="L40">
        <f>MAX(Table1[KE 4])</f>
        <v>3.687686191995684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Butler</dc:creator>
  <cp:lastModifiedBy>Tim Butler</cp:lastModifiedBy>
  <dcterms:created xsi:type="dcterms:W3CDTF">2023-07-01T02:34:42Z</dcterms:created>
  <dcterms:modified xsi:type="dcterms:W3CDTF">2023-07-10T07:55:43Z</dcterms:modified>
</cp:coreProperties>
</file>